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halu\Desktop\"/>
    </mc:Choice>
  </mc:AlternateContent>
  <xr:revisionPtr revIDLastSave="0" documentId="13_ncr:1_{EB5332FD-5E0D-45C3-9010-ECB03D7C504B}" xr6:coauthVersionLast="47" xr6:coauthVersionMax="47" xr10:uidLastSave="{00000000-0000-0000-0000-000000000000}"/>
  <bookViews>
    <workbookView xWindow="-108" yWindow="-108" windowWidth="23256" windowHeight="12456" firstSheet="7" activeTab="10" xr2:uid="{06AED2F0-C6B2-4068-939F-4993285A7736}"/>
  </bookViews>
  <sheets>
    <sheet name="Pivot_Analysis" sheetId="6" r:id="rId1"/>
    <sheet name="Trend_Analysis" sheetId="10" r:id="rId2"/>
    <sheet name="Category_Analysis" sheetId="12" r:id="rId3"/>
    <sheet name="Region_Analysis" sheetId="13" r:id="rId4"/>
    <sheet name="SalesRep_Analysis" sheetId="14" r:id="rId5"/>
    <sheet name="Sales_Data" sheetId="1" r:id="rId6"/>
    <sheet name="Sales_MIS_Practice_Data_500_Row" sheetId="8" r:id="rId7"/>
    <sheet name="Raw_Import" sheetId="7" r:id="rId8"/>
    <sheet name="KPI_Report" sheetId="3" r:id="rId9"/>
    <sheet name="Lookup_Lists" sheetId="2" r:id="rId10"/>
    <sheet name="Dashboard" sheetId="5" r:id="rId11"/>
  </sheets>
  <definedNames>
    <definedName name="ExternalData_1" localSheetId="6" hidden="1">Sales_MIS_Practice_Data_500_Row!$A$1:$N$501</definedName>
    <definedName name="Slicer_Region">#N/A</definedName>
  </definedNames>
  <calcPr calcId="191029"/>
  <pivotCaches>
    <pivotCache cacheId="0"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5" l="1"/>
  <c r="B4" i="3"/>
  <c r="B3" i="3"/>
  <c r="B4" i="5"/>
  <c r="B6" i="3"/>
  <c r="A8" i="5" s="1"/>
  <c r="D4" i="5"/>
  <c r="A4" i="5"/>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P2" i="1"/>
  <c r="Q2" i="1" s="1"/>
  <c r="P3" i="1"/>
  <c r="Q3" i="1" s="1"/>
  <c r="P4" i="1"/>
  <c r="P5" i="1"/>
  <c r="P6" i="1"/>
  <c r="P7" i="1"/>
  <c r="P8" i="1"/>
  <c r="Q8" i="1" s="1"/>
  <c r="P9" i="1"/>
  <c r="P10" i="1"/>
  <c r="Q10" i="1" s="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Q4" i="1"/>
  <c r="Q5" i="1"/>
  <c r="Q6" i="1"/>
  <c r="Q7" i="1"/>
  <c r="Q9"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R2" i="1"/>
  <c r="R3" i="1"/>
  <c r="R4" i="1"/>
  <c r="S4" i="1" s="1"/>
  <c r="B7" i="3" s="1"/>
  <c r="R5" i="1"/>
  <c r="R6" i="1"/>
  <c r="S6" i="1" s="1"/>
  <c r="R7" i="1"/>
  <c r="S7" i="1" s="1"/>
  <c r="R8" i="1"/>
  <c r="R9" i="1"/>
  <c r="R10" i="1"/>
  <c r="R11" i="1"/>
  <c r="R12" i="1"/>
  <c r="R13" i="1"/>
  <c r="R14" i="1"/>
  <c r="S14" i="1" s="1"/>
  <c r="R15" i="1"/>
  <c r="R16" i="1"/>
  <c r="R17" i="1"/>
  <c r="R18" i="1"/>
  <c r="R19" i="1"/>
  <c r="R20" i="1"/>
  <c r="R21" i="1"/>
  <c r="R22" i="1"/>
  <c r="S22" i="1" s="1"/>
  <c r="R23" i="1"/>
  <c r="R24" i="1"/>
  <c r="R25" i="1"/>
  <c r="R26" i="1"/>
  <c r="R27" i="1"/>
  <c r="R28" i="1"/>
  <c r="R29" i="1"/>
  <c r="R30" i="1"/>
  <c r="S30" i="1" s="1"/>
  <c r="R31" i="1"/>
  <c r="R32" i="1"/>
  <c r="R33" i="1"/>
  <c r="R34" i="1"/>
  <c r="R35" i="1"/>
  <c r="R36" i="1"/>
  <c r="R37" i="1"/>
  <c r="R38" i="1"/>
  <c r="S38" i="1" s="1"/>
  <c r="R39" i="1"/>
  <c r="R40" i="1"/>
  <c r="R41" i="1"/>
  <c r="R42" i="1"/>
  <c r="R43" i="1"/>
  <c r="R44" i="1"/>
  <c r="R45" i="1"/>
  <c r="R46" i="1"/>
  <c r="S46" i="1" s="1"/>
  <c r="R47" i="1"/>
  <c r="R48" i="1"/>
  <c r="R49" i="1"/>
  <c r="R50" i="1"/>
  <c r="R51" i="1"/>
  <c r="R52" i="1"/>
  <c r="R53" i="1"/>
  <c r="R54" i="1"/>
  <c r="S54" i="1" s="1"/>
  <c r="R55" i="1"/>
  <c r="R56" i="1"/>
  <c r="R57" i="1"/>
  <c r="R58" i="1"/>
  <c r="R59" i="1"/>
  <c r="R60" i="1"/>
  <c r="R61" i="1"/>
  <c r="R62" i="1"/>
  <c r="S62" i="1" s="1"/>
  <c r="R63" i="1"/>
  <c r="R64" i="1"/>
  <c r="R65" i="1"/>
  <c r="R66" i="1"/>
  <c r="R67" i="1"/>
  <c r="R68" i="1"/>
  <c r="R69" i="1"/>
  <c r="R70" i="1"/>
  <c r="S70" i="1" s="1"/>
  <c r="R71" i="1"/>
  <c r="R72" i="1"/>
  <c r="R73" i="1"/>
  <c r="R74" i="1"/>
  <c r="R75" i="1"/>
  <c r="R76" i="1"/>
  <c r="R77" i="1"/>
  <c r="R78" i="1"/>
  <c r="S78" i="1" s="1"/>
  <c r="R79" i="1"/>
  <c r="R80" i="1"/>
  <c r="R81" i="1"/>
  <c r="R82" i="1"/>
  <c r="R83" i="1"/>
  <c r="R84" i="1"/>
  <c r="R85" i="1"/>
  <c r="R86" i="1"/>
  <c r="S86" i="1" s="1"/>
  <c r="R87" i="1"/>
  <c r="R88" i="1"/>
  <c r="R89" i="1"/>
  <c r="R90" i="1"/>
  <c r="R91" i="1"/>
  <c r="R92" i="1"/>
  <c r="R93" i="1"/>
  <c r="R94" i="1"/>
  <c r="S94" i="1" s="1"/>
  <c r="R95" i="1"/>
  <c r="R96" i="1"/>
  <c r="R97" i="1"/>
  <c r="R98" i="1"/>
  <c r="R99" i="1"/>
  <c r="R100" i="1"/>
  <c r="R101" i="1"/>
  <c r="R102" i="1"/>
  <c r="S102" i="1" s="1"/>
  <c r="R103" i="1"/>
  <c r="R104" i="1"/>
  <c r="R105" i="1"/>
  <c r="R106" i="1"/>
  <c r="R107" i="1"/>
  <c r="R108" i="1"/>
  <c r="R109" i="1"/>
  <c r="R110" i="1"/>
  <c r="S110" i="1" s="1"/>
  <c r="R111" i="1"/>
  <c r="R112" i="1"/>
  <c r="R113" i="1"/>
  <c r="R114" i="1"/>
  <c r="R115" i="1"/>
  <c r="R116" i="1"/>
  <c r="R117" i="1"/>
  <c r="R118" i="1"/>
  <c r="S118" i="1" s="1"/>
  <c r="R119" i="1"/>
  <c r="R120" i="1"/>
  <c r="R121" i="1"/>
  <c r="R122" i="1"/>
  <c r="R123" i="1"/>
  <c r="R124" i="1"/>
  <c r="R125" i="1"/>
  <c r="R126" i="1"/>
  <c r="S126" i="1" s="1"/>
  <c r="R127" i="1"/>
  <c r="R128" i="1"/>
  <c r="R129" i="1"/>
  <c r="R130" i="1"/>
  <c r="R131" i="1"/>
  <c r="R132" i="1"/>
  <c r="R133" i="1"/>
  <c r="R134" i="1"/>
  <c r="S134" i="1" s="1"/>
  <c r="R135" i="1"/>
  <c r="R136" i="1"/>
  <c r="R137" i="1"/>
  <c r="R138" i="1"/>
  <c r="R139" i="1"/>
  <c r="R140" i="1"/>
  <c r="R141" i="1"/>
  <c r="R142" i="1"/>
  <c r="S142" i="1" s="1"/>
  <c r="R143" i="1"/>
  <c r="R144" i="1"/>
  <c r="R145" i="1"/>
  <c r="R146" i="1"/>
  <c r="R147" i="1"/>
  <c r="R148" i="1"/>
  <c r="R149" i="1"/>
  <c r="R150" i="1"/>
  <c r="S150" i="1" s="1"/>
  <c r="R151" i="1"/>
  <c r="R152" i="1"/>
  <c r="R153" i="1"/>
  <c r="R154" i="1"/>
  <c r="R155" i="1"/>
  <c r="R156" i="1"/>
  <c r="R157" i="1"/>
  <c r="R158" i="1"/>
  <c r="S158" i="1" s="1"/>
  <c r="R159" i="1"/>
  <c r="R160" i="1"/>
  <c r="R161" i="1"/>
  <c r="R162" i="1"/>
  <c r="R163" i="1"/>
  <c r="R164" i="1"/>
  <c r="R165" i="1"/>
  <c r="R166" i="1"/>
  <c r="S166" i="1" s="1"/>
  <c r="R167" i="1"/>
  <c r="R168" i="1"/>
  <c r="R169" i="1"/>
  <c r="R170" i="1"/>
  <c r="R171" i="1"/>
  <c r="R172" i="1"/>
  <c r="R173" i="1"/>
  <c r="R174" i="1"/>
  <c r="S174" i="1" s="1"/>
  <c r="R175" i="1"/>
  <c r="R176" i="1"/>
  <c r="R177" i="1"/>
  <c r="R178" i="1"/>
  <c r="R179" i="1"/>
  <c r="R180" i="1"/>
  <c r="R181" i="1"/>
  <c r="R182" i="1"/>
  <c r="S182" i="1" s="1"/>
  <c r="R183" i="1"/>
  <c r="R184" i="1"/>
  <c r="R185" i="1"/>
  <c r="R186" i="1"/>
  <c r="R187" i="1"/>
  <c r="R188" i="1"/>
  <c r="R189" i="1"/>
  <c r="R190" i="1"/>
  <c r="S190" i="1" s="1"/>
  <c r="R191" i="1"/>
  <c r="R192" i="1"/>
  <c r="R193" i="1"/>
  <c r="R194" i="1"/>
  <c r="R195" i="1"/>
  <c r="R196" i="1"/>
  <c r="R197" i="1"/>
  <c r="R198" i="1"/>
  <c r="S198" i="1" s="1"/>
  <c r="R199" i="1"/>
  <c r="R200" i="1"/>
  <c r="R201" i="1"/>
  <c r="R202" i="1"/>
  <c r="R203" i="1"/>
  <c r="R204" i="1"/>
  <c r="R205" i="1"/>
  <c r="R206" i="1"/>
  <c r="S206" i="1" s="1"/>
  <c r="R207" i="1"/>
  <c r="R208" i="1"/>
  <c r="R209" i="1"/>
  <c r="R210" i="1"/>
  <c r="R211" i="1"/>
  <c r="R212" i="1"/>
  <c r="R213" i="1"/>
  <c r="R214" i="1"/>
  <c r="S214" i="1" s="1"/>
  <c r="R215" i="1"/>
  <c r="R216" i="1"/>
  <c r="R217" i="1"/>
  <c r="R218" i="1"/>
  <c r="R219" i="1"/>
  <c r="R220" i="1"/>
  <c r="R221" i="1"/>
  <c r="R222" i="1"/>
  <c r="S222" i="1" s="1"/>
  <c r="R223" i="1"/>
  <c r="R224" i="1"/>
  <c r="R225" i="1"/>
  <c r="R226" i="1"/>
  <c r="R227" i="1"/>
  <c r="R228" i="1"/>
  <c r="R229" i="1"/>
  <c r="R230" i="1"/>
  <c r="S230" i="1" s="1"/>
  <c r="R231" i="1"/>
  <c r="R232" i="1"/>
  <c r="R233" i="1"/>
  <c r="R234" i="1"/>
  <c r="R235" i="1"/>
  <c r="R236" i="1"/>
  <c r="R237" i="1"/>
  <c r="R238" i="1"/>
  <c r="S238" i="1" s="1"/>
  <c r="R239" i="1"/>
  <c r="R240" i="1"/>
  <c r="R241" i="1"/>
  <c r="R242" i="1"/>
  <c r="R243" i="1"/>
  <c r="R244" i="1"/>
  <c r="R245" i="1"/>
  <c r="R246" i="1"/>
  <c r="S246" i="1" s="1"/>
  <c r="R247" i="1"/>
  <c r="R248" i="1"/>
  <c r="R249" i="1"/>
  <c r="R250" i="1"/>
  <c r="R251" i="1"/>
  <c r="R252" i="1"/>
  <c r="R253" i="1"/>
  <c r="R254" i="1"/>
  <c r="S254" i="1" s="1"/>
  <c r="R255" i="1"/>
  <c r="R256" i="1"/>
  <c r="R257" i="1"/>
  <c r="R258" i="1"/>
  <c r="R259" i="1"/>
  <c r="R260" i="1"/>
  <c r="R261" i="1"/>
  <c r="R262" i="1"/>
  <c r="S262" i="1" s="1"/>
  <c r="R263" i="1"/>
  <c r="R264" i="1"/>
  <c r="R265" i="1"/>
  <c r="R266" i="1"/>
  <c r="R267" i="1"/>
  <c r="R268" i="1"/>
  <c r="R269" i="1"/>
  <c r="R270" i="1"/>
  <c r="S270" i="1" s="1"/>
  <c r="R271" i="1"/>
  <c r="R272" i="1"/>
  <c r="R273" i="1"/>
  <c r="R274" i="1"/>
  <c r="R275" i="1"/>
  <c r="R276" i="1"/>
  <c r="R277" i="1"/>
  <c r="R278" i="1"/>
  <c r="S278" i="1" s="1"/>
  <c r="R279" i="1"/>
  <c r="R280" i="1"/>
  <c r="R281" i="1"/>
  <c r="R282" i="1"/>
  <c r="R283" i="1"/>
  <c r="R284" i="1"/>
  <c r="R285" i="1"/>
  <c r="R286" i="1"/>
  <c r="S286" i="1" s="1"/>
  <c r="R287" i="1"/>
  <c r="R288" i="1"/>
  <c r="R289" i="1"/>
  <c r="R290" i="1"/>
  <c r="R291" i="1"/>
  <c r="R292" i="1"/>
  <c r="R293" i="1"/>
  <c r="R294" i="1"/>
  <c r="S294" i="1" s="1"/>
  <c r="R295" i="1"/>
  <c r="R296" i="1"/>
  <c r="R297" i="1"/>
  <c r="R298" i="1"/>
  <c r="R299" i="1"/>
  <c r="R300" i="1"/>
  <c r="R301" i="1"/>
  <c r="R302" i="1"/>
  <c r="S302" i="1" s="1"/>
  <c r="R303" i="1"/>
  <c r="R304" i="1"/>
  <c r="R305" i="1"/>
  <c r="R306" i="1"/>
  <c r="R307" i="1"/>
  <c r="R308" i="1"/>
  <c r="R309" i="1"/>
  <c r="R310" i="1"/>
  <c r="S310" i="1" s="1"/>
  <c r="R311" i="1"/>
  <c r="R312" i="1"/>
  <c r="R313" i="1"/>
  <c r="R314" i="1"/>
  <c r="R315" i="1"/>
  <c r="R316" i="1"/>
  <c r="R317" i="1"/>
  <c r="R318" i="1"/>
  <c r="S318" i="1" s="1"/>
  <c r="R319" i="1"/>
  <c r="R320" i="1"/>
  <c r="R321" i="1"/>
  <c r="R322" i="1"/>
  <c r="R323" i="1"/>
  <c r="R324" i="1"/>
  <c r="R325" i="1"/>
  <c r="R326" i="1"/>
  <c r="S326" i="1" s="1"/>
  <c r="R327" i="1"/>
  <c r="R328" i="1"/>
  <c r="R329" i="1"/>
  <c r="R330" i="1"/>
  <c r="R331" i="1"/>
  <c r="R332" i="1"/>
  <c r="R333" i="1"/>
  <c r="R334" i="1"/>
  <c r="S334" i="1" s="1"/>
  <c r="R335" i="1"/>
  <c r="R336" i="1"/>
  <c r="R337" i="1"/>
  <c r="R338" i="1"/>
  <c r="R339" i="1"/>
  <c r="R340" i="1"/>
  <c r="R341" i="1"/>
  <c r="R342" i="1"/>
  <c r="S342" i="1" s="1"/>
  <c r="R343" i="1"/>
  <c r="R344" i="1"/>
  <c r="R345" i="1"/>
  <c r="R346" i="1"/>
  <c r="R347" i="1"/>
  <c r="R348" i="1"/>
  <c r="R349" i="1"/>
  <c r="R350" i="1"/>
  <c r="S350" i="1" s="1"/>
  <c r="R351" i="1"/>
  <c r="R352" i="1"/>
  <c r="R353" i="1"/>
  <c r="R354" i="1"/>
  <c r="R355" i="1"/>
  <c r="R356" i="1"/>
  <c r="R357" i="1"/>
  <c r="R358" i="1"/>
  <c r="S358" i="1" s="1"/>
  <c r="R359" i="1"/>
  <c r="R360" i="1"/>
  <c r="R361" i="1"/>
  <c r="R362" i="1"/>
  <c r="R363" i="1"/>
  <c r="R364" i="1"/>
  <c r="R365" i="1"/>
  <c r="R366" i="1"/>
  <c r="S366" i="1" s="1"/>
  <c r="R367" i="1"/>
  <c r="R368" i="1"/>
  <c r="R369" i="1"/>
  <c r="R370" i="1"/>
  <c r="R371" i="1"/>
  <c r="R372" i="1"/>
  <c r="R373" i="1"/>
  <c r="R374" i="1"/>
  <c r="S374" i="1" s="1"/>
  <c r="R375" i="1"/>
  <c r="R376" i="1"/>
  <c r="R377" i="1"/>
  <c r="R378" i="1"/>
  <c r="R379" i="1"/>
  <c r="R380" i="1"/>
  <c r="R381" i="1"/>
  <c r="R382" i="1"/>
  <c r="S382" i="1" s="1"/>
  <c r="R383" i="1"/>
  <c r="R384" i="1"/>
  <c r="R385" i="1"/>
  <c r="R386" i="1"/>
  <c r="R387" i="1"/>
  <c r="R388" i="1"/>
  <c r="R389" i="1"/>
  <c r="R390" i="1"/>
  <c r="S390" i="1" s="1"/>
  <c r="R391" i="1"/>
  <c r="R392" i="1"/>
  <c r="R393" i="1"/>
  <c r="R394" i="1"/>
  <c r="R395" i="1"/>
  <c r="R396" i="1"/>
  <c r="R397" i="1"/>
  <c r="R398" i="1"/>
  <c r="S398" i="1" s="1"/>
  <c r="R399" i="1"/>
  <c r="R400" i="1"/>
  <c r="R401" i="1"/>
  <c r="R402" i="1"/>
  <c r="R403" i="1"/>
  <c r="R404" i="1"/>
  <c r="R405" i="1"/>
  <c r="R406" i="1"/>
  <c r="S406" i="1" s="1"/>
  <c r="R407" i="1"/>
  <c r="R408" i="1"/>
  <c r="R409" i="1"/>
  <c r="R410" i="1"/>
  <c r="R411" i="1"/>
  <c r="R412" i="1"/>
  <c r="R413" i="1"/>
  <c r="R414" i="1"/>
  <c r="S414" i="1" s="1"/>
  <c r="R415" i="1"/>
  <c r="R416" i="1"/>
  <c r="R417" i="1"/>
  <c r="R418" i="1"/>
  <c r="R419" i="1"/>
  <c r="R420" i="1"/>
  <c r="R421" i="1"/>
  <c r="R422" i="1"/>
  <c r="S422" i="1" s="1"/>
  <c r="R423" i="1"/>
  <c r="R424" i="1"/>
  <c r="R425" i="1"/>
  <c r="R426" i="1"/>
  <c r="R427" i="1"/>
  <c r="R428" i="1"/>
  <c r="R429" i="1"/>
  <c r="R430" i="1"/>
  <c r="S430" i="1" s="1"/>
  <c r="R431" i="1"/>
  <c r="R432" i="1"/>
  <c r="R433" i="1"/>
  <c r="R434" i="1"/>
  <c r="R435" i="1"/>
  <c r="R436" i="1"/>
  <c r="R437" i="1"/>
  <c r="R438" i="1"/>
  <c r="S438" i="1" s="1"/>
  <c r="R439" i="1"/>
  <c r="R440" i="1"/>
  <c r="R441" i="1"/>
  <c r="R442" i="1"/>
  <c r="R443" i="1"/>
  <c r="R444" i="1"/>
  <c r="R445" i="1"/>
  <c r="R446" i="1"/>
  <c r="S446" i="1" s="1"/>
  <c r="R447" i="1"/>
  <c r="R448" i="1"/>
  <c r="R449" i="1"/>
  <c r="R450" i="1"/>
  <c r="R451" i="1"/>
  <c r="R452" i="1"/>
  <c r="R453" i="1"/>
  <c r="R454" i="1"/>
  <c r="S454" i="1" s="1"/>
  <c r="R455" i="1"/>
  <c r="R456" i="1"/>
  <c r="R457" i="1"/>
  <c r="R458" i="1"/>
  <c r="R459" i="1"/>
  <c r="R460" i="1"/>
  <c r="R461" i="1"/>
  <c r="R462" i="1"/>
  <c r="S462" i="1" s="1"/>
  <c r="R463" i="1"/>
  <c r="R464" i="1"/>
  <c r="R465" i="1"/>
  <c r="R466" i="1"/>
  <c r="R467" i="1"/>
  <c r="R468" i="1"/>
  <c r="R469" i="1"/>
  <c r="R470" i="1"/>
  <c r="S470" i="1" s="1"/>
  <c r="R471" i="1"/>
  <c r="R472" i="1"/>
  <c r="R473" i="1"/>
  <c r="R474" i="1"/>
  <c r="R475" i="1"/>
  <c r="R476" i="1"/>
  <c r="S476" i="1" s="1"/>
  <c r="R477" i="1"/>
  <c r="R478" i="1"/>
  <c r="S478" i="1" s="1"/>
  <c r="R479" i="1"/>
  <c r="R480" i="1"/>
  <c r="R481" i="1"/>
  <c r="R482" i="1"/>
  <c r="R483" i="1"/>
  <c r="R484" i="1"/>
  <c r="S484" i="1" s="1"/>
  <c r="R485" i="1"/>
  <c r="R486" i="1"/>
  <c r="S486" i="1" s="1"/>
  <c r="R487" i="1"/>
  <c r="R488" i="1"/>
  <c r="R489" i="1"/>
  <c r="R490" i="1"/>
  <c r="R491" i="1"/>
  <c r="R492" i="1"/>
  <c r="S492" i="1" s="1"/>
  <c r="R493" i="1"/>
  <c r="R494" i="1"/>
  <c r="S494" i="1" s="1"/>
  <c r="R495" i="1"/>
  <c r="R496" i="1"/>
  <c r="R497" i="1"/>
  <c r="R498" i="1"/>
  <c r="R499" i="1"/>
  <c r="R500" i="1"/>
  <c r="S500" i="1" s="1"/>
  <c r="R501" i="1"/>
  <c r="S2" i="1"/>
  <c r="S3" i="1"/>
  <c r="S5" i="1"/>
  <c r="S8" i="1"/>
  <c r="S9" i="1"/>
  <c r="S10" i="1"/>
  <c r="S11" i="1"/>
  <c r="S12" i="1"/>
  <c r="S13" i="1"/>
  <c r="S15" i="1"/>
  <c r="S16" i="1"/>
  <c r="S17" i="1"/>
  <c r="S18" i="1"/>
  <c r="S19" i="1"/>
  <c r="S20" i="1"/>
  <c r="S21" i="1"/>
  <c r="S23" i="1"/>
  <c r="S24" i="1"/>
  <c r="S25" i="1"/>
  <c r="S26" i="1"/>
  <c r="S27" i="1"/>
  <c r="S28" i="1"/>
  <c r="S29" i="1"/>
  <c r="S31" i="1"/>
  <c r="S32" i="1"/>
  <c r="S33" i="1"/>
  <c r="S34" i="1"/>
  <c r="S35" i="1"/>
  <c r="S36" i="1"/>
  <c r="S37" i="1"/>
  <c r="S39" i="1"/>
  <c r="S40" i="1"/>
  <c r="S41" i="1"/>
  <c r="S42" i="1"/>
  <c r="S43" i="1"/>
  <c r="S44" i="1"/>
  <c r="S45" i="1"/>
  <c r="S47" i="1"/>
  <c r="S48" i="1"/>
  <c r="S49" i="1"/>
  <c r="S50" i="1"/>
  <c r="S51" i="1"/>
  <c r="S52" i="1"/>
  <c r="S53" i="1"/>
  <c r="S55" i="1"/>
  <c r="S56" i="1"/>
  <c r="S57" i="1"/>
  <c r="S58" i="1"/>
  <c r="S59" i="1"/>
  <c r="S60" i="1"/>
  <c r="S61" i="1"/>
  <c r="S63" i="1"/>
  <c r="S64" i="1"/>
  <c r="S65" i="1"/>
  <c r="S66" i="1"/>
  <c r="S67" i="1"/>
  <c r="S68" i="1"/>
  <c r="S69" i="1"/>
  <c r="S71" i="1"/>
  <c r="S72" i="1"/>
  <c r="S73" i="1"/>
  <c r="S74" i="1"/>
  <c r="S75" i="1"/>
  <c r="S76" i="1"/>
  <c r="S77" i="1"/>
  <c r="S79" i="1"/>
  <c r="S80" i="1"/>
  <c r="S81" i="1"/>
  <c r="S82" i="1"/>
  <c r="S83" i="1"/>
  <c r="S84" i="1"/>
  <c r="S85" i="1"/>
  <c r="S87" i="1"/>
  <c r="S88" i="1"/>
  <c r="S89" i="1"/>
  <c r="S90" i="1"/>
  <c r="S91" i="1"/>
  <c r="S92" i="1"/>
  <c r="S93" i="1"/>
  <c r="S95" i="1"/>
  <c r="S96" i="1"/>
  <c r="S97" i="1"/>
  <c r="S98" i="1"/>
  <c r="S99" i="1"/>
  <c r="S100" i="1"/>
  <c r="S101" i="1"/>
  <c r="S103" i="1"/>
  <c r="S104" i="1"/>
  <c r="S105" i="1"/>
  <c r="S106" i="1"/>
  <c r="S107" i="1"/>
  <c r="S108" i="1"/>
  <c r="S109" i="1"/>
  <c r="S111" i="1"/>
  <c r="S112" i="1"/>
  <c r="S113" i="1"/>
  <c r="S114" i="1"/>
  <c r="S115" i="1"/>
  <c r="S116" i="1"/>
  <c r="S117" i="1"/>
  <c r="S119" i="1"/>
  <c r="S120" i="1"/>
  <c r="S121" i="1"/>
  <c r="S122" i="1"/>
  <c r="S123" i="1"/>
  <c r="S124" i="1"/>
  <c r="S125" i="1"/>
  <c r="S127" i="1"/>
  <c r="S128" i="1"/>
  <c r="S129" i="1"/>
  <c r="S130" i="1"/>
  <c r="S131" i="1"/>
  <c r="S132" i="1"/>
  <c r="S133" i="1"/>
  <c r="S135" i="1"/>
  <c r="S136" i="1"/>
  <c r="S137" i="1"/>
  <c r="S138" i="1"/>
  <c r="S139" i="1"/>
  <c r="S140" i="1"/>
  <c r="S141" i="1"/>
  <c r="S143" i="1"/>
  <c r="S144" i="1"/>
  <c r="S145" i="1"/>
  <c r="S146" i="1"/>
  <c r="S147" i="1"/>
  <c r="S148" i="1"/>
  <c r="S149" i="1"/>
  <c r="S151" i="1"/>
  <c r="S152" i="1"/>
  <c r="S153" i="1"/>
  <c r="S154" i="1"/>
  <c r="S155" i="1"/>
  <c r="S156" i="1"/>
  <c r="S157" i="1"/>
  <c r="S159" i="1"/>
  <c r="S160" i="1"/>
  <c r="S161" i="1"/>
  <c r="S162" i="1"/>
  <c r="S163" i="1"/>
  <c r="S164" i="1"/>
  <c r="S165" i="1"/>
  <c r="S167" i="1"/>
  <c r="S168" i="1"/>
  <c r="S169" i="1"/>
  <c r="S170" i="1"/>
  <c r="S171" i="1"/>
  <c r="S172" i="1"/>
  <c r="S173" i="1"/>
  <c r="S175" i="1"/>
  <c r="S176" i="1"/>
  <c r="S177" i="1"/>
  <c r="S178" i="1"/>
  <c r="S179" i="1"/>
  <c r="S180" i="1"/>
  <c r="S181" i="1"/>
  <c r="S183" i="1"/>
  <c r="S184" i="1"/>
  <c r="S185" i="1"/>
  <c r="S186" i="1"/>
  <c r="S187" i="1"/>
  <c r="S188" i="1"/>
  <c r="S189" i="1"/>
  <c r="S191" i="1"/>
  <c r="S192" i="1"/>
  <c r="S193" i="1"/>
  <c r="S194" i="1"/>
  <c r="S195" i="1"/>
  <c r="S196" i="1"/>
  <c r="S197" i="1"/>
  <c r="S199" i="1"/>
  <c r="S200" i="1"/>
  <c r="S201" i="1"/>
  <c r="S202" i="1"/>
  <c r="S203" i="1"/>
  <c r="S204" i="1"/>
  <c r="S205" i="1"/>
  <c r="S207" i="1"/>
  <c r="S208" i="1"/>
  <c r="S209" i="1"/>
  <c r="S210" i="1"/>
  <c r="S211" i="1"/>
  <c r="S212" i="1"/>
  <c r="S213" i="1"/>
  <c r="S215" i="1"/>
  <c r="S216" i="1"/>
  <c r="S217" i="1"/>
  <c r="S218" i="1"/>
  <c r="S219" i="1"/>
  <c r="S220" i="1"/>
  <c r="S221" i="1"/>
  <c r="S223" i="1"/>
  <c r="S224" i="1"/>
  <c r="S225" i="1"/>
  <c r="S226" i="1"/>
  <c r="S227" i="1"/>
  <c r="S228" i="1"/>
  <c r="S229" i="1"/>
  <c r="S231" i="1"/>
  <c r="S232" i="1"/>
  <c r="S233" i="1"/>
  <c r="S234" i="1"/>
  <c r="S235" i="1"/>
  <c r="S236" i="1"/>
  <c r="S237" i="1"/>
  <c r="S239" i="1"/>
  <c r="S240" i="1"/>
  <c r="S241" i="1"/>
  <c r="S242" i="1"/>
  <c r="S243" i="1"/>
  <c r="S244" i="1"/>
  <c r="S245" i="1"/>
  <c r="S247" i="1"/>
  <c r="S248" i="1"/>
  <c r="S249" i="1"/>
  <c r="S250" i="1"/>
  <c r="S251" i="1"/>
  <c r="S252" i="1"/>
  <c r="S253" i="1"/>
  <c r="S255" i="1"/>
  <c r="S256" i="1"/>
  <c r="S257" i="1"/>
  <c r="S258" i="1"/>
  <c r="S259" i="1"/>
  <c r="S260" i="1"/>
  <c r="S261" i="1"/>
  <c r="S263" i="1"/>
  <c r="S264" i="1"/>
  <c r="S265" i="1"/>
  <c r="S266" i="1"/>
  <c r="S267" i="1"/>
  <c r="S268" i="1"/>
  <c r="S269" i="1"/>
  <c r="S271" i="1"/>
  <c r="S272" i="1"/>
  <c r="S273" i="1"/>
  <c r="S274" i="1"/>
  <c r="S275" i="1"/>
  <c r="S276" i="1"/>
  <c r="S277" i="1"/>
  <c r="S279" i="1"/>
  <c r="S280" i="1"/>
  <c r="S281" i="1"/>
  <c r="S282" i="1"/>
  <c r="S283" i="1"/>
  <c r="S284" i="1"/>
  <c r="S285" i="1"/>
  <c r="S287" i="1"/>
  <c r="S288" i="1"/>
  <c r="S289" i="1"/>
  <c r="S290" i="1"/>
  <c r="S291" i="1"/>
  <c r="S292" i="1"/>
  <c r="S293" i="1"/>
  <c r="S295" i="1"/>
  <c r="S296" i="1"/>
  <c r="S297" i="1"/>
  <c r="S298" i="1"/>
  <c r="S299" i="1"/>
  <c r="S300" i="1"/>
  <c r="S301" i="1"/>
  <c r="S303" i="1"/>
  <c r="S304" i="1"/>
  <c r="S305" i="1"/>
  <c r="S306" i="1"/>
  <c r="S307" i="1"/>
  <c r="S308" i="1"/>
  <c r="S309" i="1"/>
  <c r="S311" i="1"/>
  <c r="S312" i="1"/>
  <c r="S313" i="1"/>
  <c r="S314" i="1"/>
  <c r="S315" i="1"/>
  <c r="S316" i="1"/>
  <c r="S317" i="1"/>
  <c r="S319" i="1"/>
  <c r="S320" i="1"/>
  <c r="S321" i="1"/>
  <c r="S322" i="1"/>
  <c r="S323" i="1"/>
  <c r="S324" i="1"/>
  <c r="S325" i="1"/>
  <c r="S327" i="1"/>
  <c r="S328" i="1"/>
  <c r="S329" i="1"/>
  <c r="S330" i="1"/>
  <c r="S331" i="1"/>
  <c r="S332" i="1"/>
  <c r="S333" i="1"/>
  <c r="S335" i="1"/>
  <c r="S336" i="1"/>
  <c r="S337" i="1"/>
  <c r="S338" i="1"/>
  <c r="S339" i="1"/>
  <c r="S340" i="1"/>
  <c r="S341" i="1"/>
  <c r="S343" i="1"/>
  <c r="S344" i="1"/>
  <c r="S345" i="1"/>
  <c r="S346" i="1"/>
  <c r="S347" i="1"/>
  <c r="S348" i="1"/>
  <c r="S349" i="1"/>
  <c r="S351" i="1"/>
  <c r="S352" i="1"/>
  <c r="S353" i="1"/>
  <c r="S354" i="1"/>
  <c r="S355" i="1"/>
  <c r="S356" i="1"/>
  <c r="S357" i="1"/>
  <c r="S359" i="1"/>
  <c r="S360" i="1"/>
  <c r="S361" i="1"/>
  <c r="S362" i="1"/>
  <c r="S363" i="1"/>
  <c r="S364" i="1"/>
  <c r="S365" i="1"/>
  <c r="S367" i="1"/>
  <c r="S368" i="1"/>
  <c r="S369" i="1"/>
  <c r="S370" i="1"/>
  <c r="S371" i="1"/>
  <c r="S372" i="1"/>
  <c r="S373" i="1"/>
  <c r="S375" i="1"/>
  <c r="S376" i="1"/>
  <c r="S377" i="1"/>
  <c r="S378" i="1"/>
  <c r="S379" i="1"/>
  <c r="S380" i="1"/>
  <c r="S381" i="1"/>
  <c r="S383" i="1"/>
  <c r="S384" i="1"/>
  <c r="S385" i="1"/>
  <c r="S386" i="1"/>
  <c r="S387" i="1"/>
  <c r="S388" i="1"/>
  <c r="S389" i="1"/>
  <c r="S391" i="1"/>
  <c r="S392" i="1"/>
  <c r="S393" i="1"/>
  <c r="S394" i="1"/>
  <c r="S395" i="1"/>
  <c r="S396" i="1"/>
  <c r="S397" i="1"/>
  <c r="S399" i="1"/>
  <c r="S400" i="1"/>
  <c r="S401" i="1"/>
  <c r="S402" i="1"/>
  <c r="S403" i="1"/>
  <c r="S404" i="1"/>
  <c r="S405" i="1"/>
  <c r="S407" i="1"/>
  <c r="S408" i="1"/>
  <c r="S409" i="1"/>
  <c r="S410" i="1"/>
  <c r="S411" i="1"/>
  <c r="S412" i="1"/>
  <c r="S413" i="1"/>
  <c r="S415" i="1"/>
  <c r="S416" i="1"/>
  <c r="S417" i="1"/>
  <c r="S418" i="1"/>
  <c r="S419" i="1"/>
  <c r="S420" i="1"/>
  <c r="S421" i="1"/>
  <c r="S423" i="1"/>
  <c r="S424" i="1"/>
  <c r="S425" i="1"/>
  <c r="S426" i="1"/>
  <c r="S427" i="1"/>
  <c r="S428" i="1"/>
  <c r="S429" i="1"/>
  <c r="S431" i="1"/>
  <c r="S432" i="1"/>
  <c r="S433" i="1"/>
  <c r="S434" i="1"/>
  <c r="S435" i="1"/>
  <c r="S436" i="1"/>
  <c r="S437" i="1"/>
  <c r="S439" i="1"/>
  <c r="S440" i="1"/>
  <c r="S441" i="1"/>
  <c r="S442" i="1"/>
  <c r="S443" i="1"/>
  <c r="S444" i="1"/>
  <c r="S445" i="1"/>
  <c r="S447" i="1"/>
  <c r="S448" i="1"/>
  <c r="S449" i="1"/>
  <c r="S450" i="1"/>
  <c r="S451" i="1"/>
  <c r="S452" i="1"/>
  <c r="S453" i="1"/>
  <c r="S455" i="1"/>
  <c r="S456" i="1"/>
  <c r="S457" i="1"/>
  <c r="S458" i="1"/>
  <c r="S459" i="1"/>
  <c r="S460" i="1"/>
  <c r="S461" i="1"/>
  <c r="S463" i="1"/>
  <c r="S464" i="1"/>
  <c r="S465" i="1"/>
  <c r="S466" i="1"/>
  <c r="S467" i="1"/>
  <c r="S468" i="1"/>
  <c r="S469" i="1"/>
  <c r="S471" i="1"/>
  <c r="S472" i="1"/>
  <c r="S473" i="1"/>
  <c r="S474" i="1"/>
  <c r="S475" i="1"/>
  <c r="S477" i="1"/>
  <c r="S479" i="1"/>
  <c r="S480" i="1"/>
  <c r="S481" i="1"/>
  <c r="S482" i="1"/>
  <c r="S483" i="1"/>
  <c r="S485" i="1"/>
  <c r="S487" i="1"/>
  <c r="S488" i="1"/>
  <c r="S489" i="1"/>
  <c r="S490" i="1"/>
  <c r="S491" i="1"/>
  <c r="S493" i="1"/>
  <c r="S495" i="1"/>
  <c r="S496" i="1"/>
  <c r="S497" i="1"/>
  <c r="S498" i="1"/>
  <c r="S499" i="1"/>
  <c r="S501" i="1"/>
  <c r="B5" i="3"/>
  <c r="B2" i="3"/>
  <c r="C4"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444D57-34E9-496F-A7F8-4E78FECD1096}" keepAlive="1" name="Query - Sales_MIS_Practice_Data_500_Rows" description="Connection to the 'Sales_MIS_Practice_Data_500_Rows' query in the workbook." type="5" refreshedVersion="0" background="1">
    <dbPr connection="Provider=Microsoft.Mashup.OleDb.1;Data Source=$Workbook$;Location=Sales_MIS_Practice_Data_500_Rows;Extended Properties=&quot;&quot;" command="SELECT * FROM [Sales_MIS_Practice_Data_500_Rows]"/>
  </connection>
  <connection id="2" xr16:uid="{F9B5D837-FA1F-4F3B-948C-7E3BB9F5769E}" keepAlive="1" name="Query - Sales_MIS_Practice_Data_500_Rows (2)" description="Connection to the 'Sales_MIS_Practice_Data_500_Rows (2)' query in the workbook." type="5" refreshedVersion="8" background="1" saveData="1">
    <dbPr connection="Provider=Microsoft.Mashup.OleDb.1;Data Source=$Workbook$;Location=&quot;Sales_MIS_Practice_Data_500_Rows (2)&quot;;Extended Properties=&quot;&quot;" command="SELECT * FROM [Sales_MIS_Practice_Data_500_Rows (2)]"/>
  </connection>
</connections>
</file>

<file path=xl/sharedStrings.xml><?xml version="1.0" encoding="utf-8"?>
<sst xmlns="http://schemas.openxmlformats.org/spreadsheetml/2006/main" count="7134" uniqueCount="705">
  <si>
    <t>Order_ID</t>
  </si>
  <si>
    <t>Order_Date</t>
  </si>
  <si>
    <t>Region</t>
  </si>
  <si>
    <t>Sales_Rep</t>
  </si>
  <si>
    <t>Customer</t>
  </si>
  <si>
    <t>Channel</t>
  </si>
  <si>
    <t>Category</t>
  </si>
  <si>
    <t>Product</t>
  </si>
  <si>
    <t>Units</t>
  </si>
  <si>
    <t>Unit_Price</t>
  </si>
  <si>
    <t>Discount</t>
  </si>
  <si>
    <t>Revenue</t>
  </si>
  <si>
    <t>Cost</t>
  </si>
  <si>
    <t>Target</t>
  </si>
  <si>
    <t>ORD1001</t>
  </si>
  <si>
    <t>North</t>
  </si>
  <si>
    <t>Aarav Sharma</t>
  </si>
  <si>
    <t>Customer 001</t>
  </si>
  <si>
    <t>Online</t>
  </si>
  <si>
    <t>Laptops</t>
  </si>
  <si>
    <t>ProBook 14</t>
  </si>
  <si>
    <t>ORD1002</t>
  </si>
  <si>
    <t>West</t>
  </si>
  <si>
    <t>Diya Patel</t>
  </si>
  <si>
    <t>Customer 002</t>
  </si>
  <si>
    <t>Retail</t>
  </si>
  <si>
    <t>Monitors</t>
  </si>
  <si>
    <t>Monitor 27</t>
  </si>
  <si>
    <t>ORD1003</t>
  </si>
  <si>
    <t>South</t>
  </si>
  <si>
    <t>Rohan Mehta</t>
  </si>
  <si>
    <t>Customer 003</t>
  </si>
  <si>
    <t>Distributor</t>
  </si>
  <si>
    <t>Accessories</t>
  </si>
  <si>
    <t>Wireless Mouse</t>
  </si>
  <si>
    <t>Standard_Price</t>
  </si>
  <si>
    <t>Target_Multiplier</t>
  </si>
  <si>
    <t>UltraBook 15</t>
  </si>
  <si>
    <t>Business 13</t>
  </si>
  <si>
    <t>Monitor 24</t>
  </si>
  <si>
    <t>Monitor 32</t>
  </si>
  <si>
    <t>Mechanical Keyboard</t>
  </si>
  <si>
    <t>USB-C Hub</t>
  </si>
  <si>
    <t>Webcam HD</t>
  </si>
  <si>
    <t>LaserJet M200</t>
  </si>
  <si>
    <t>Printers</t>
  </si>
  <si>
    <t>OfficeJet Pro</t>
  </si>
  <si>
    <t>ColorJet X</t>
  </si>
  <si>
    <t>Profit</t>
  </si>
  <si>
    <t>Profit_Margin</t>
  </si>
  <si>
    <t>Target_Variance</t>
  </si>
  <si>
    <t>Target_Status</t>
  </si>
  <si>
    <t>KPI</t>
  </si>
  <si>
    <t>Value</t>
  </si>
  <si>
    <t>Total Revenue</t>
  </si>
  <si>
    <t>Total Profit</t>
  </si>
  <si>
    <t>Profit Margin</t>
  </si>
  <si>
    <t>Target Achievement</t>
  </si>
  <si>
    <t>Total Units Sold</t>
  </si>
  <si>
    <t>Below Target Transactions</t>
  </si>
  <si>
    <t>Row Labels</t>
  </si>
  <si>
    <t>Grand Total</t>
  </si>
  <si>
    <t>Sum of Revenue</t>
  </si>
  <si>
    <t>Sum of Profit</t>
  </si>
  <si>
    <t>Kabir Shah</t>
  </si>
  <si>
    <t>Customer 028</t>
  </si>
  <si>
    <t>Customer 081</t>
  </si>
  <si>
    <t>East</t>
  </si>
  <si>
    <t>Ananya Singh</t>
  </si>
  <si>
    <t>Customer 019</t>
  </si>
  <si>
    <t>ORD1004</t>
  </si>
  <si>
    <t>Customer 013</t>
  </si>
  <si>
    <t>ORD1005</t>
  </si>
  <si>
    <t>Customer 119</t>
  </si>
  <si>
    <t>Corporate</t>
  </si>
  <si>
    <t>ORD1006</t>
  </si>
  <si>
    <t>Customer 064</t>
  </si>
  <si>
    <t>ORD1007</t>
  </si>
  <si>
    <t>Customer 120</t>
  </si>
  <si>
    <t>ORD1008</t>
  </si>
  <si>
    <t>Customer 089</t>
  </si>
  <si>
    <t>ORD1009</t>
  </si>
  <si>
    <t>Meera Iyer</t>
  </si>
  <si>
    <t>Customer 086</t>
  </si>
  <si>
    <t>ORD1010</t>
  </si>
  <si>
    <t>Customer 050</t>
  </si>
  <si>
    <t>ORD1011</t>
  </si>
  <si>
    <t>Customer 095</t>
  </si>
  <si>
    <t>ORD1012</t>
  </si>
  <si>
    <t>Customer 105</t>
  </si>
  <si>
    <t>ORD1013</t>
  </si>
  <si>
    <t>Customer 011</t>
  </si>
  <si>
    <t>ORD1014</t>
  </si>
  <si>
    <t>ORD1015</t>
  </si>
  <si>
    <t>Customer 116</t>
  </si>
  <si>
    <t>ORD1016</t>
  </si>
  <si>
    <t>Customer 021</t>
  </si>
  <si>
    <t>ORD1017</t>
  </si>
  <si>
    <t>Customer 004</t>
  </si>
  <si>
    <t>ORD1018</t>
  </si>
  <si>
    <t>Customer 015</t>
  </si>
  <si>
    <t>ORD1019</t>
  </si>
  <si>
    <t>Customer 107</t>
  </si>
  <si>
    <t>ORD1020</t>
  </si>
  <si>
    <t>Customer 039</t>
  </si>
  <si>
    <t>ORD1021</t>
  </si>
  <si>
    <t>Customer 029</t>
  </si>
  <si>
    <t>ORD1022</t>
  </si>
  <si>
    <t>Customer 102</t>
  </si>
  <si>
    <t>ORD1023</t>
  </si>
  <si>
    <t>ORD1024</t>
  </si>
  <si>
    <t>Customer 117</t>
  </si>
  <si>
    <t>ORD1025</t>
  </si>
  <si>
    <t>Customer 056</t>
  </si>
  <si>
    <t>ORD1026</t>
  </si>
  <si>
    <t>Customer 017</t>
  </si>
  <si>
    <t>ORD1027</t>
  </si>
  <si>
    <t>ORD1028</t>
  </si>
  <si>
    <t>Customer 096</t>
  </si>
  <si>
    <t>ORD1029</t>
  </si>
  <si>
    <t>Customer 042</t>
  </si>
  <si>
    <t>ORD1030</t>
  </si>
  <si>
    <t>ORD1031</t>
  </si>
  <si>
    <t>ORD1032</t>
  </si>
  <si>
    <t>Customer 114</t>
  </si>
  <si>
    <t>ORD1033</t>
  </si>
  <si>
    <t>ORD1034</t>
  </si>
  <si>
    <t>Customer 115</t>
  </si>
  <si>
    <t>ORD1035</t>
  </si>
  <si>
    <t>ORD1036</t>
  </si>
  <si>
    <t>ORD1037</t>
  </si>
  <si>
    <t>Customer 054</t>
  </si>
  <si>
    <t>ORD1038</t>
  </si>
  <si>
    <t>Customer 043</t>
  </si>
  <si>
    <t>ORD1039</t>
  </si>
  <si>
    <t>Customer 006</t>
  </si>
  <si>
    <t>ORD1040</t>
  </si>
  <si>
    <t>Customer 118</t>
  </si>
  <si>
    <t>ORD1041</t>
  </si>
  <si>
    <t>Customer 082</t>
  </si>
  <si>
    <t>ORD1042</t>
  </si>
  <si>
    <t>Customer 071</t>
  </si>
  <si>
    <t>ORD1043</t>
  </si>
  <si>
    <t>Customer 007</t>
  </si>
  <si>
    <t>ORD1044</t>
  </si>
  <si>
    <t>Customer 045</t>
  </si>
  <si>
    <t>ORD1045</t>
  </si>
  <si>
    <t>ORD1046</t>
  </si>
  <si>
    <t>Customer 040</t>
  </si>
  <si>
    <t>ORD1047</t>
  </si>
  <si>
    <t>Customer 108</t>
  </si>
  <si>
    <t>ORD1048</t>
  </si>
  <si>
    <t>ORD1049</t>
  </si>
  <si>
    <t>Customer 047</t>
  </si>
  <si>
    <t>ORD1050</t>
  </si>
  <si>
    <t>ORD1051</t>
  </si>
  <si>
    <t>Customer 052</t>
  </si>
  <si>
    <t>ORD1052</t>
  </si>
  <si>
    <t>ORD1053</t>
  </si>
  <si>
    <t>Customer 090</t>
  </si>
  <si>
    <t>ORD1054</t>
  </si>
  <si>
    <t>ORD1055</t>
  </si>
  <si>
    <t>Customer 069</t>
  </si>
  <si>
    <t>ORD1056</t>
  </si>
  <si>
    <t>Customer 068</t>
  </si>
  <si>
    <t>ORD1057</t>
  </si>
  <si>
    <t>Customer 084</t>
  </si>
  <si>
    <t>ORD1058</t>
  </si>
  <si>
    <t>Customer 077</t>
  </si>
  <si>
    <t>ORD1059</t>
  </si>
  <si>
    <t>Customer 063</t>
  </si>
  <si>
    <t>ORD1060</t>
  </si>
  <si>
    <t>Customer 060</t>
  </si>
  <si>
    <t>ORD1061</t>
  </si>
  <si>
    <t>ORD1062</t>
  </si>
  <si>
    <t>ORD1063</t>
  </si>
  <si>
    <t>Customer 058</t>
  </si>
  <si>
    <t>ORD1064</t>
  </si>
  <si>
    <t>Customer 097</t>
  </si>
  <si>
    <t>ORD1065</t>
  </si>
  <si>
    <t>Customer 051</t>
  </si>
  <si>
    <t>ORD1066</t>
  </si>
  <si>
    <t>Customer 037</t>
  </si>
  <si>
    <t>ORD1067</t>
  </si>
  <si>
    <t>Customer 104</t>
  </si>
  <si>
    <t>ORD1068</t>
  </si>
  <si>
    <t>Customer 112</t>
  </si>
  <si>
    <t>ORD1069</t>
  </si>
  <si>
    <t>Customer 033</t>
  </si>
  <si>
    <t>ORD1070</t>
  </si>
  <si>
    <t>Customer 027</t>
  </si>
  <si>
    <t>ORD1071</t>
  </si>
  <si>
    <t>Customer 023</t>
  </si>
  <si>
    <t>ORD1072</t>
  </si>
  <si>
    <t>ORD1073</t>
  </si>
  <si>
    <t>Customer 074</t>
  </si>
  <si>
    <t>ORD1074</t>
  </si>
  <si>
    <t>Customer 083</t>
  </si>
  <si>
    <t>ORD1075</t>
  </si>
  <si>
    <t>ORD1076</t>
  </si>
  <si>
    <t>ORD1077</t>
  </si>
  <si>
    <t>ORD1078</t>
  </si>
  <si>
    <t>ORD1079</t>
  </si>
  <si>
    <t>ORD1080</t>
  </si>
  <si>
    <t>ORD1081</t>
  </si>
  <si>
    <t>ORD1082</t>
  </si>
  <si>
    <t>ORD1083</t>
  </si>
  <si>
    <t>Customer 026</t>
  </si>
  <si>
    <t>ORD1084</t>
  </si>
  <si>
    <t>ORD1085</t>
  </si>
  <si>
    <t>ORD1086</t>
  </si>
  <si>
    <t>Customer 025</t>
  </si>
  <si>
    <t>ORD1087</t>
  </si>
  <si>
    <t>Customer 057</t>
  </si>
  <si>
    <t>ORD1088</t>
  </si>
  <si>
    <t>Customer 046</t>
  </si>
  <si>
    <t>ORD1089</t>
  </si>
  <si>
    <t>ORD1090</t>
  </si>
  <si>
    <t>Customer 009</t>
  </si>
  <si>
    <t>ORD1091</t>
  </si>
  <si>
    <t>ORD1092</t>
  </si>
  <si>
    <t>Customer 106</t>
  </si>
  <si>
    <t>ORD1093</t>
  </si>
  <si>
    <t>ORD1094</t>
  </si>
  <si>
    <t>Customer 111</t>
  </si>
  <si>
    <t>ORD1095</t>
  </si>
  <si>
    <t>Customer 053</t>
  </si>
  <si>
    <t>ORD1096</t>
  </si>
  <si>
    <t>Customer 034</t>
  </si>
  <si>
    <t>ORD1097</t>
  </si>
  <si>
    <t>Customer 059</t>
  </si>
  <si>
    <t>ORD1098</t>
  </si>
  <si>
    <t>ORD1099</t>
  </si>
  <si>
    <t>ORD1100</t>
  </si>
  <si>
    <t>ORD1101</t>
  </si>
  <si>
    <t>Customer 048</t>
  </si>
  <si>
    <t>ORD1102</t>
  </si>
  <si>
    <t>Customer 005</t>
  </si>
  <si>
    <t>ORD1103</t>
  </si>
  <si>
    <t>ORD1104</t>
  </si>
  <si>
    <t>Customer 062</t>
  </si>
  <si>
    <t>ORD1105</t>
  </si>
  <si>
    <t>ORD1106</t>
  </si>
  <si>
    <t>ORD1107</t>
  </si>
  <si>
    <t>ORD1108</t>
  </si>
  <si>
    <t>ORD1109</t>
  </si>
  <si>
    <t>Customer 067</t>
  </si>
  <si>
    <t>ORD1110</t>
  </si>
  <si>
    <t>Customer 041</t>
  </si>
  <si>
    <t>ORD1111</t>
  </si>
  <si>
    <t>Customer 101</t>
  </si>
  <si>
    <t>ORD1112</t>
  </si>
  <si>
    <t>ORD1113</t>
  </si>
  <si>
    <t>ORD1114</t>
  </si>
  <si>
    <t>Customer 032</t>
  </si>
  <si>
    <t>ORD1115</t>
  </si>
  <si>
    <t>Customer 031</t>
  </si>
  <si>
    <t>ORD1116</t>
  </si>
  <si>
    <t>ORD1117</t>
  </si>
  <si>
    <t>ORD1118</t>
  </si>
  <si>
    <t>Customer 079</t>
  </si>
  <si>
    <t>ORD1119</t>
  </si>
  <si>
    <t>ORD1120</t>
  </si>
  <si>
    <t>Customer 065</t>
  </si>
  <si>
    <t>ORD1121</t>
  </si>
  <si>
    <t>ORD1122</t>
  </si>
  <si>
    <t>Customer 072</t>
  </si>
  <si>
    <t>ORD1123</t>
  </si>
  <si>
    <t>ORD1124</t>
  </si>
  <si>
    <t>ORD1125</t>
  </si>
  <si>
    <t>Customer 038</t>
  </si>
  <si>
    <t>ORD1126</t>
  </si>
  <si>
    <t>ORD1127</t>
  </si>
  <si>
    <t>Customer 018</t>
  </si>
  <si>
    <t>ORD1128</t>
  </si>
  <si>
    <t>ORD1129</t>
  </si>
  <si>
    <t>ORD1130</t>
  </si>
  <si>
    <t>Customer 008</t>
  </si>
  <si>
    <t>ORD1131</t>
  </si>
  <si>
    <t>ORD1132</t>
  </si>
  <si>
    <t>ORD1133</t>
  </si>
  <si>
    <t>ORD1134</t>
  </si>
  <si>
    <t>ORD1135</t>
  </si>
  <si>
    <t>Customer 113</t>
  </si>
  <si>
    <t>ORD1136</t>
  </si>
  <si>
    <t>ORD1137</t>
  </si>
  <si>
    <t>ORD1138</t>
  </si>
  <si>
    <t>ORD1139</t>
  </si>
  <si>
    <t>ORD1140</t>
  </si>
  <si>
    <t>Customer 098</t>
  </si>
  <si>
    <t>ORD1141</t>
  </si>
  <si>
    <t>ORD1142</t>
  </si>
  <si>
    <t>ORD1143</t>
  </si>
  <si>
    <t>ORD1144</t>
  </si>
  <si>
    <t>ORD1145</t>
  </si>
  <si>
    <t>ORD1146</t>
  </si>
  <si>
    <t>ORD1147</t>
  </si>
  <si>
    <t>ORD1148</t>
  </si>
  <si>
    <t>ORD1149</t>
  </si>
  <si>
    <t>ORD1150</t>
  </si>
  <si>
    <t>ORD1151</t>
  </si>
  <si>
    <t>ORD1152</t>
  </si>
  <si>
    <t>ORD1153</t>
  </si>
  <si>
    <t>Customer 094</t>
  </si>
  <si>
    <t>ORD1154</t>
  </si>
  <si>
    <t>Customer 036</t>
  </si>
  <si>
    <t>ORD1155</t>
  </si>
  <si>
    <t>Customer 110</t>
  </si>
  <si>
    <t>ORD1156</t>
  </si>
  <si>
    <t>ORD1157</t>
  </si>
  <si>
    <t>Customer 024</t>
  </si>
  <si>
    <t>ORD1158</t>
  </si>
  <si>
    <t>Customer 092</t>
  </si>
  <si>
    <t>ORD1159</t>
  </si>
  <si>
    <t>ORD1160</t>
  </si>
  <si>
    <t>ORD1161</t>
  </si>
  <si>
    <t>Customer 044</t>
  </si>
  <si>
    <t>ORD1162</t>
  </si>
  <si>
    <t>ORD1163</t>
  </si>
  <si>
    <t>ORD1164</t>
  </si>
  <si>
    <t>ORD1165</t>
  </si>
  <si>
    <t>ORD1166</t>
  </si>
  <si>
    <t>Customer 091</t>
  </si>
  <si>
    <t>ORD1167</t>
  </si>
  <si>
    <t>ORD1168</t>
  </si>
  <si>
    <t>ORD1169</t>
  </si>
  <si>
    <t>Customer 075</t>
  </si>
  <si>
    <t>ORD1170</t>
  </si>
  <si>
    <t>ORD1171</t>
  </si>
  <si>
    <t>ORD1172</t>
  </si>
  <si>
    <t>Customer 016</t>
  </si>
  <si>
    <t>ORD1173</t>
  </si>
  <si>
    <t>ORD1174</t>
  </si>
  <si>
    <t>Customer 073</t>
  </si>
  <si>
    <t>ORD1175</t>
  </si>
  <si>
    <t>ORD1176</t>
  </si>
  <si>
    <t>Customer 066</t>
  </si>
  <si>
    <t>ORD1177</t>
  </si>
  <si>
    <t>ORD1178</t>
  </si>
  <si>
    <t>ORD1179</t>
  </si>
  <si>
    <t>ORD1180</t>
  </si>
  <si>
    <t>ORD1181</t>
  </si>
  <si>
    <t>Customer 099</t>
  </si>
  <si>
    <t>ORD1182</t>
  </si>
  <si>
    <t>ORD1183</t>
  </si>
  <si>
    <t>ORD1184</t>
  </si>
  <si>
    <t>ORD1185</t>
  </si>
  <si>
    <t>ORD1186</t>
  </si>
  <si>
    <t>ORD1187</t>
  </si>
  <si>
    <t>ORD1188</t>
  </si>
  <si>
    <t>ORD1189</t>
  </si>
  <si>
    <t>ORD1190</t>
  </si>
  <si>
    <t>Customer 088</t>
  </si>
  <si>
    <t>ORD1191</t>
  </si>
  <si>
    <t>ORD1192</t>
  </si>
  <si>
    <t>ORD1193</t>
  </si>
  <si>
    <t>Customer 093</t>
  </si>
  <si>
    <t>ORD1194</t>
  </si>
  <si>
    <t>Customer 049</t>
  </si>
  <si>
    <t>ORD1195</t>
  </si>
  <si>
    <t>ORD1196</t>
  </si>
  <si>
    <t>ORD1197</t>
  </si>
  <si>
    <t>ORD1198</t>
  </si>
  <si>
    <t>Customer 030</t>
  </si>
  <si>
    <t>ORD1199</t>
  </si>
  <si>
    <t>ORD1200</t>
  </si>
  <si>
    <t>ORD1201</t>
  </si>
  <si>
    <t>ORD1202</t>
  </si>
  <si>
    <t>Customer 055</t>
  </si>
  <si>
    <t>ORD1203</t>
  </si>
  <si>
    <t>ORD1204</t>
  </si>
  <si>
    <t>ORD1205</t>
  </si>
  <si>
    <t>ORD1206</t>
  </si>
  <si>
    <t>ORD1207</t>
  </si>
  <si>
    <t>ORD1208</t>
  </si>
  <si>
    <t>ORD1209</t>
  </si>
  <si>
    <t>ORD1210</t>
  </si>
  <si>
    <t>ORD1211</t>
  </si>
  <si>
    <t>ORD1212</t>
  </si>
  <si>
    <t>ORD1213</t>
  </si>
  <si>
    <t>Customer 103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</si>
  <si>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</si>
  <si>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</si>
  <si>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</si>
  <si>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</si>
  <si>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</si>
  <si>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</si>
  <si>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</si>
  <si>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</si>
  <si>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</si>
  <si>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</si>
  <si>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</si>
  <si>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</si>
  <si>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</si>
  <si>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</si>
  <si>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</si>
  <si>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</si>
  <si>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</si>
  <si>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</si>
  <si>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Customer 014</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</si>
  <si>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</si>
  <si>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</si>
  <si>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</si>
  <si>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</si>
  <si>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</si>
  <si>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</si>
  <si>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</si>
  <si>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</si>
  <si>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</si>
  <si>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</si>
  <si>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</si>
  <si>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</si>
  <si>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</si>
  <si>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</si>
  <si>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</si>
  <si>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</si>
  <si>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</si>
  <si>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</si>
  <si>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</si>
  <si>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</si>
  <si>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</si>
  <si>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</si>
  <si>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</si>
  <si>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</si>
  <si>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</si>
  <si>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</si>
  <si>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</si>
  <si>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</si>
  <si>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</si>
  <si>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</si>
  <si>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Customer 022</t>
  </si>
  <si>
    <t>ORD1262</t>
  </si>
  <si>
    <t>ORD1263</t>
  </si>
  <si>
    <t>ORD1264</t>
  </si>
  <si>
    <t>ORD1265</t>
  </si>
  <si>
    <t>ORD1266</t>
  </si>
  <si>
    <t>ORD1267</t>
  </si>
  <si>
    <t>ORD1268</t>
  </si>
  <si>
    <t>ORD1269</t>
  </si>
  <si>
    <t>ORD1270</t>
  </si>
  <si>
    <t>ORD1271</t>
  </si>
  <si>
    <t>ORD1272</t>
  </si>
  <si>
    <t>ORD1273</t>
  </si>
  <si>
    <t>Customer 087</t>
  </si>
  <si>
    <t>ORD1274</t>
  </si>
  <si>
    <t>ORD1275</t>
  </si>
  <si>
    <t>ORD1276</t>
  </si>
  <si>
    <t>Customer 100</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</si>
  <si>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</si>
  <si>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</si>
  <si>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</si>
  <si>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</si>
  <si>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</si>
  <si>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</si>
  <si>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</si>
  <si>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</si>
  <si>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</si>
  <si>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</si>
  <si>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</si>
  <si>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</si>
  <si>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</si>
  <si>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</si>
  <si>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</si>
  <si>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</si>
  <si>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</si>
  <si>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</si>
  <si>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</si>
  <si>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Customer 078</t>
  </si>
  <si>
    <t>ORD1296</t>
  </si>
  <si>
    <t>Customer 085</t>
  </si>
  <si>
    <t>ORD1297</t>
  </si>
  <si>
    <t>ORD1298</t>
  </si>
  <si>
    <t>ORD1299</t>
  </si>
  <si>
    <t>ORD1300</t>
  </si>
  <si>
    <t>ORD1301</t>
  </si>
  <si>
    <t>ORD1302</t>
  </si>
  <si>
    <t>ORD1303</t>
  </si>
  <si>
    <t>ORD1304</t>
  </si>
  <si>
    <t>ORD1305</t>
  </si>
  <si>
    <t>ORD1306</t>
  </si>
  <si>
    <t>ORD1307</t>
  </si>
  <si>
    <t>Customer 010</t>
  </si>
  <si>
    <t>ORD1308</t>
  </si>
  <si>
    <t>ORD1309</t>
  </si>
  <si>
    <t>ORD1310</t>
  </si>
  <si>
    <t>ORD1311</t>
  </si>
  <si>
    <t>ORD1312</t>
  </si>
  <si>
    <t>ORD1313</t>
  </si>
  <si>
    <t>ORD1314</t>
  </si>
  <si>
    <t>ORD1315</t>
  </si>
  <si>
    <t>ORD1316</t>
  </si>
  <si>
    <t>ORD1317</t>
  </si>
  <si>
    <t>Customer 020</t>
  </si>
  <si>
    <t>ORD1318</t>
  </si>
  <si>
    <t>Customer 076</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</si>
  <si>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</si>
  <si>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</si>
  <si>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</si>
  <si>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</si>
  <si>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</si>
  <si>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</si>
  <si>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</si>
  <si>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</si>
  <si>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</si>
  <si>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</si>
  <si>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</si>
  <si>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</si>
  <si>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</si>
  <si>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</si>
  <si>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</si>
  <si>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</si>
  <si>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</si>
  <si>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</si>
  <si>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</si>
  <si>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</si>
  <si>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</si>
  <si>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</si>
  <si>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</si>
  <si>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</si>
  <si>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</si>
  <si>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</si>
  <si>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</si>
  <si>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</si>
  <si>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</si>
  <si>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</si>
  <si>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</si>
  <si>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</si>
  <si>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</si>
  <si>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</si>
  <si>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</si>
  <si>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</si>
  <si>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</si>
  <si>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</si>
  <si>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</si>
  <si>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</si>
  <si>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</si>
  <si>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Customer 080</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</si>
  <si>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</si>
  <si>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</si>
  <si>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</si>
  <si>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</si>
  <si>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</si>
  <si>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</si>
  <si>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</si>
  <si>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</si>
  <si>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</si>
  <si>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</si>
  <si>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</si>
  <si>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</si>
  <si>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</si>
  <si>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</si>
  <si>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</si>
  <si>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</si>
  <si>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</si>
  <si>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</si>
  <si>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</si>
  <si>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</si>
  <si>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</si>
  <si>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</si>
  <si>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</si>
  <si>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</si>
  <si>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</si>
  <si>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</si>
  <si>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</si>
  <si>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</si>
  <si>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</si>
  <si>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</si>
  <si>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</si>
  <si>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</si>
  <si>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</si>
  <si>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</si>
  <si>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</si>
  <si>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</si>
  <si>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</si>
  <si>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</si>
  <si>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</si>
  <si>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</si>
  <si>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</si>
  <si>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</si>
  <si>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</si>
  <si>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</si>
  <si>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</si>
  <si>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</si>
  <si>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</si>
  <si>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</si>
  <si>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</si>
  <si>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</si>
  <si>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</si>
  <si>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</si>
  <si>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</si>
  <si>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</si>
  <si>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</si>
  <si>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</si>
  <si>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</si>
  <si>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</si>
  <si>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</si>
  <si>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</si>
  <si>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</si>
  <si>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</si>
  <si>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</si>
  <si>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</si>
  <si>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</si>
  <si>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</si>
  <si>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</si>
  <si>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</si>
  <si>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</si>
  <si>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</si>
  <si>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</si>
  <si>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</si>
  <si>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</si>
  <si>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</si>
  <si>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</si>
  <si>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</si>
  <si>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</si>
  <si>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</si>
  <si>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</si>
  <si>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</si>
  <si>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</si>
  <si>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</si>
  <si>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</si>
  <si>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</si>
  <si>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</si>
  <si>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</si>
  <si>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</si>
  <si>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</si>
  <si>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</si>
  <si>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</si>
  <si>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</si>
  <si>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</si>
  <si>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</si>
  <si>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</si>
  <si>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</si>
  <si>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</si>
  <si>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</si>
  <si>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</si>
  <si>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</si>
  <si>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</si>
  <si>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</si>
  <si>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</si>
  <si>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</si>
  <si>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</si>
  <si>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</si>
  <si>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</si>
  <si>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</si>
  <si>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</si>
  <si>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</si>
  <si>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</si>
  <si>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</si>
  <si>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</si>
  <si>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</si>
  <si>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</si>
  <si>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</si>
  <si>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</si>
  <si>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</si>
  <si>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</si>
  <si>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</si>
  <si>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Customer 061</t>
  </si>
  <si>
    <t>ORD1479</t>
  </si>
  <si>
    <t>ORD1480</t>
  </si>
  <si>
    <t>ORD1481</t>
  </si>
  <si>
    <t>ORD1482</t>
  </si>
  <si>
    <t>ORD1483</t>
  </si>
  <si>
    <t>ORD1484</t>
  </si>
  <si>
    <t>ORD1485</t>
  </si>
  <si>
    <t>ORD1486</t>
  </si>
  <si>
    <t>ORD1487</t>
  </si>
  <si>
    <t>ORD1488</t>
  </si>
  <si>
    <t>ORD1489</t>
  </si>
  <si>
    <t>ORD1490</t>
  </si>
  <si>
    <t>ORD1491</t>
  </si>
  <si>
    <t>ORD1492</t>
  </si>
  <si>
    <t>ORD1493</t>
  </si>
  <si>
    <t>Customer 012</t>
  </si>
  <si>
    <t>ORD1494</t>
  </si>
  <si>
    <t>ORD1495</t>
  </si>
  <si>
    <t>ORD1496</t>
  </si>
  <si>
    <t>ORD1497</t>
  </si>
  <si>
    <t>ORD1498</t>
  </si>
  <si>
    <t>ORD1499</t>
  </si>
  <si>
    <t>ORD1500</t>
  </si>
  <si>
    <t>Jan</t>
  </si>
  <si>
    <t>Feb</t>
  </si>
  <si>
    <t>Mar</t>
  </si>
  <si>
    <t>Apr</t>
  </si>
  <si>
    <t>May</t>
  </si>
  <si>
    <t>Jun</t>
  </si>
  <si>
    <t>Jul</t>
  </si>
  <si>
    <t>Aug</t>
  </si>
  <si>
    <t>Sep</t>
  </si>
  <si>
    <t>Oct</t>
  </si>
  <si>
    <t>Nov</t>
  </si>
  <si>
    <t>Dec</t>
  </si>
  <si>
    <t>2025</t>
  </si>
  <si>
    <t>SALES MIS DASHBOARD – 2025</t>
  </si>
  <si>
    <t>TOTAL REVENUE</t>
  </si>
  <si>
    <t>PROFIT MARGIN</t>
  </si>
  <si>
    <t>TARGET ACHIEVEMENT</t>
  </si>
  <si>
    <t>TOTAL PROFIT</t>
  </si>
  <si>
    <t>TOTAL UNITS SOLD</t>
  </si>
  <si>
    <t>BELOW-TARGET TRANSACTIONS</t>
  </si>
  <si>
    <t>MANAGEMENT INSIGHTS</t>
  </si>
  <si>
    <t>June is the lowest-revenue month at ₹81,732.40.</t>
  </si>
  <si>
    <t>Laptops are the highest-revenue category at ₹844,947.87.</t>
  </si>
  <si>
    <t>East is the highest-revenue region at ₹419,782.95.</t>
  </si>
  <si>
    <t>Kabir Shah is the top sales representative by revenue at ₹315,763.03.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</si>
</sst>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 #,##0.00_ ;_ * \-#,##0.00_ ;_ * &quot;-&quot;??_ ;_ @_ "/>
    <numFmt numFmtId="164" formatCode="0.0%"/>
    <numFmt numFmtId="165" formatCode="_ * #,##0_ ;_ * \-#,##0_ ;_ * &quot;-&quot;??_ ;_ @_ "/>
  </numFmts>
  <fonts count="10">
    <font>
      <sz val="11"/>
      <color theme="1"/>
      <name val="Century Gothic"/>
      <family val="2"/>
      <scheme val="minor"/>
    </font>
    <font>
      <sz val="11"/>
      <color theme="1"/>
      <name val="Century Gothic"/>
      <family val="2"/>
      <scheme val="minor"/>
    </font>
    <font>
      <b/>
      <sz val="11"/>
      <color theme="0"/>
      <name val="Century Gothic"/>
      <family val="2"/>
      <scheme val="minor"/>
    </font>
    <font>
      <b/>
      <sz val="11"/>
      <color theme="1"/>
      <name val="Century Gothic"/>
      <family val="2"/>
      <scheme val="minor"/>
    </font>
    <font>
      <sz val="10"/>
      <color theme="1"/>
      <name val="Arial Unicode MS"/>
    </font>
    <font>
      <b/>
      <sz val="14"/>
      <color theme="1"/>
      <name val="Century Gothic"/>
      <family val="2"/>
      <scheme val="minor"/>
    </font>
    <font>
      <sz val="12"/>
      <color theme="1"/>
      <name val="Century Gothic"/>
      <family val="2"/>
      <scheme val="minor"/>
    </font>
    <font>
      <sz val="11"/>
      <color theme="0"/>
      <name val="Century Gothic"/>
      <family val="2"/>
      <scheme val="minor"/>
    </font>
    <font>
      <b/>
      <sz val="18"/>
      <color theme="0"/>
      <name val="Century Gothic"/>
      <family val="2"/>
      <scheme val="minor"/>
    </font>
    <font>
      <b/>
      <sz val="14"/>
      <color theme="0"/>
      <name val="Century Gothic"/>
      <family val="2"/>
      <scheme val="minor"/>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0"/>
        <bgColor indexed="64"/>
      </patternFill>
    </fill>
    <fill>
      <patternFill patternType="solid">
        <fgColor rgb="FF002060"/>
        <bgColor indexed="64"/>
      </patternFill>
    </fill>
  </fills>
  <borders count="8">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0">
    <xf numFmtId="0" fontId="0" fillId="0" borderId="0" xfId="0"/>
    <xf numFmtId="0" fontId="3"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right" vertical="center" wrapText="1"/>
    </xf>
    <xf numFmtId="0" fontId="3" fillId="0" borderId="0" xfId="0" applyFont="1" applyAlignment="1">
      <alignment horizontal="right" vertical="center" wrapText="1"/>
    </xf>
    <xf numFmtId="9" fontId="0" fillId="0" borderId="0" xfId="2" applyFont="1" applyAlignment="1">
      <alignment horizontal="right" vertical="center" wrapText="1"/>
    </xf>
    <xf numFmtId="0" fontId="4" fillId="0" borderId="0" xfId="0" applyFont="1" applyAlignment="1">
      <alignment vertical="center" wrapText="1"/>
    </xf>
    <xf numFmtId="0" fontId="0" fillId="3" borderId="1" xfId="0" applyFill="1" applyBorder="1"/>
    <xf numFmtId="0" fontId="2" fillId="2" borderId="3" xfId="0" applyFont="1" applyFill="1" applyBorder="1"/>
    <xf numFmtId="0" fontId="2" fillId="2" borderId="4" xfId="0" applyFont="1" applyFill="1" applyBorder="1" applyAlignment="1">
      <alignment horizontal="center" vertical="center" wrapText="1"/>
    </xf>
    <xf numFmtId="0" fontId="0" fillId="3" borderId="3" xfId="0" applyFill="1" applyBorder="1"/>
    <xf numFmtId="0" fontId="0" fillId="3" borderId="4" xfId="0" applyFill="1" applyBorder="1"/>
    <xf numFmtId="0" fontId="0" fillId="0" borderId="3" xfId="0" applyBorder="1"/>
    <xf numFmtId="0" fontId="0" fillId="0" borderId="4" xfId="0" applyBorder="1"/>
    <xf numFmtId="0" fontId="4" fillId="3" borderId="4" xfId="0" applyFont="1" applyFill="1" applyBorder="1" applyAlignment="1">
      <alignment vertical="center" wrapText="1"/>
    </xf>
    <xf numFmtId="0" fontId="4" fillId="0" borderId="4" xfId="0" applyFont="1" applyBorder="1" applyAlignment="1">
      <alignment vertical="center" wrapText="1"/>
    </xf>
    <xf numFmtId="0" fontId="4" fillId="3" borderId="2" xfId="0" applyFont="1" applyFill="1" applyBorder="1" applyAlignment="1">
      <alignment vertical="center" wrapText="1"/>
    </xf>
    <xf numFmtId="9" fontId="4" fillId="3" borderId="4" xfId="2" applyFont="1" applyFill="1" applyBorder="1" applyAlignment="1">
      <alignment vertical="center" wrapText="1"/>
    </xf>
    <xf numFmtId="164" fontId="4" fillId="0" borderId="4" xfId="2" applyNumberFormat="1" applyFont="1" applyBorder="1" applyAlignment="1">
      <alignment vertical="center" wrapText="1"/>
    </xf>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horizontal="left" indent="1"/>
    </xf>
    <xf numFmtId="0" fontId="6" fillId="0" borderId="0" xfId="0" applyFont="1"/>
    <xf numFmtId="43" fontId="5" fillId="0" borderId="5" xfId="1" applyFont="1" applyBorder="1" applyAlignment="1">
      <alignment horizontal="center" vertical="center"/>
    </xf>
    <xf numFmtId="9" fontId="5" fillId="0" borderId="5" xfId="0" applyNumberFormat="1" applyFont="1" applyBorder="1" applyAlignment="1">
      <alignment horizontal="center" vertical="center"/>
    </xf>
    <xf numFmtId="164" fontId="5" fillId="0" borderId="5" xfId="2" applyNumberFormat="1" applyFont="1" applyBorder="1" applyAlignment="1">
      <alignment horizontal="center" vertical="center"/>
    </xf>
    <xf numFmtId="0" fontId="0" fillId="0" borderId="0" xfId="0" applyAlignment="1">
      <alignment horizontal="center" vertical="center"/>
    </xf>
    <xf numFmtId="0" fontId="2" fillId="5" borderId="5" xfId="0" applyFont="1" applyFill="1" applyBorder="1" applyAlignment="1">
      <alignment horizontal="center" vertical="center"/>
    </xf>
    <xf numFmtId="0" fontId="7" fillId="4" borderId="0" xfId="0" applyFont="1" applyFill="1"/>
    <xf numFmtId="0" fontId="9" fillId="5" borderId="0" xfId="0" applyFont="1" applyFill="1"/>
    <xf numFmtId="0" fontId="2" fillId="5" borderId="0" xfId="0" applyFont="1" applyFill="1"/>
    <xf numFmtId="0" fontId="8" fillId="5" borderId="0" xfId="0" applyFont="1" applyFill="1" applyAlignment="1">
      <alignment horizontal="center"/>
    </xf>
    <xf numFmtId="0" fontId="0" fillId="0" borderId="0" xfId="0" applyNumberFormat="1"/>
    <xf numFmtId="0" fontId="2" fillId="5" borderId="6" xfId="0" applyFont="1" applyFill="1" applyBorder="1" applyAlignment="1">
      <alignment horizontal="center" vertical="center"/>
    </xf>
    <xf numFmtId="0" fontId="2" fillId="5" borderId="7" xfId="0" applyFont="1" applyFill="1" applyBorder="1" applyAlignment="1">
      <alignment horizontal="center" vertical="center"/>
    </xf>
    <xf numFmtId="165" fontId="5" fillId="0" borderId="6" xfId="1" applyNumberFormat="1" applyFont="1" applyBorder="1" applyAlignment="1">
      <alignment vertical="center"/>
    </xf>
    <xf numFmtId="165" fontId="5" fillId="0" borderId="7" xfId="1" applyNumberFormat="1" applyFont="1" applyBorder="1" applyAlignment="1">
      <alignment vertical="center"/>
    </xf>
    <xf numFmtId="0" fontId="5" fillId="0" borderId="6" xfId="0" applyFont="1" applyBorder="1" applyAlignment="1">
      <alignment horizontal="center" vertical="center"/>
    </xf>
    <xf numFmtId="0" fontId="5" fillId="0" borderId="7" xfId="0" applyFont="1" applyBorder="1" applyAlignment="1">
      <alignment horizontal="center" vertical="center"/>
    </xf>
  </cellXfs>
  <cellStyles count="3">
    <cellStyle name="Comma" xfId="1" builtinId="3"/>
    <cellStyle name="Normal" xfId="0" builtinId="0"/>
    <cellStyle name="Percent" xfId="2" builtinId="5"/>
  </cellStyles>
  <dxfs count="36">
    <dxf>
      <font>
        <color rgb="FF9C0006"/>
      </font>
      <fill>
        <patternFill>
          <bgColor rgb="FFFFC7CE"/>
        </patternFill>
      </fill>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numFmt numFmtId="0" formatCode="General"/>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numFmt numFmtId="13" formatCode="0%"/>
      <alignment horizontal="right"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19" formatCode="dd/mm/yyyy"/>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right" vertical="center" textRotation="0" wrapText="1" indent="0" justifyLastLine="0" shrinkToFit="0" readingOrder="0"/>
    </dxf>
    <dxf>
      <font>
        <b/>
        <i val="0"/>
        <strike val="0"/>
        <condense val="0"/>
        <extend val="0"/>
        <outline val="0"/>
        <shadow val="0"/>
        <u val="none"/>
        <vertAlign val="baseline"/>
        <sz val="11"/>
        <color theme="1"/>
        <name val="Century Gothic"/>
        <family val="2"/>
        <scheme val="minor"/>
      </font>
      <alignment horizontal="right" vertical="center" textRotation="0" wrapText="1" indent="0" justifyLastLine="0" shrinkToFit="0" readingOrder="0"/>
    </dxf>
    <dxf>
      <font>
        <b/>
        <color theme="1"/>
      </font>
      <border>
        <bottom style="thin">
          <color theme="4"/>
        </bottom>
        <vertical/>
        <horizontal/>
      </border>
    </dxf>
    <dxf>
      <font>
        <color theme="1"/>
      </font>
      <border diagonalUp="0" diagonalDown="0">
        <left/>
        <right/>
        <top/>
        <bottom/>
        <vertical/>
        <horizontal/>
      </border>
    </dxf>
  </dxfs>
  <tableStyles count="1" defaultTableStyle="TableStyleMedium2" defaultPivotStyle="PivotStyleLight16">
    <tableStyle name="Region Clean" pivot="0" table="0" count="10" xr9:uid="{BB78FCFD-244C-4EED-8144-D14EE5C6ACE1}">
      <tableStyleElement type="wholeTable" dxfId="35"/>
      <tableStyleElement type="headerRow" dxfId="3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Region Clea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[Sales_MIS_Project Excel.xlsx.xlsx]Trend_Analysis!PivotTable2</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Monthly Sales Revenue Trend – 2025</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Trend_Analysis!$B$3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Trend_Analysis!$A$4:$A$17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Trend_Analysis!$B$4:$B$17</c:f>
              <c:numCache>
                <c:formatCode>General</c:formatCode>
                <c:ptCount val="12"/>
                <c:pt idx="0">
                  <c:v>171519.03000000003</c:v>
                </c:pt>
                <c:pt idx="1">
                  <c:v>130421.45999999996</c:v>
                </c:pt>
                <c:pt idx="2">
                  <c:v>111334.26000000002</c:v>
                </c:pt>
                <c:pt idx="3">
                  <c:v>135516.07999999999</c:v>
                </c:pt>
                <c:pt idx="4">
                  <c:v>110195.21999999997</c:v>
                </c:pt>
                <c:pt idx="5">
                  <c:v>81732.39999999998</c:v>
                </c:pt>
                <c:pt idx="6">
                  <c:v>161144.95999999999</c:v>
                </c:pt>
                <c:pt idx="7">
                  <c:v>166164.42000000001</c:v>
                </c:pt>
                <c:pt idx="8">
                  <c:v>151028.03000000006</c:v>
                </c:pt>
                <c:pt idx="9">
                  <c:v>110986.31000000001</c:v>
                </c:pt>
                <c:pt idx="10">
                  <c:v>116185.74000000002</c:v>
                </c:pt>
                <c:pt idx="11">
                  <c:v>122323.22999999997</c:v>
                </c:pt>
              </c:numCache>
            </c:numRef>
          </c:val>
          <c:smooth val="0"/>
          <c:extLst>
            <c:ext xmlns:c16="http://schemas.microsoft.com/office/drawing/2014/chart" uri="{C3380CC4-5D6E-409C-BE32-E72D297353CC}">
              <c16:uniqueId val="{00000000-53DF-43DF-BED0-2DA7D54FCA81}"/>
            </c:ext>
          </c:extLst>
        </c:ser>
        <c:dLbls>
          <c:showLegendKey val="0"/>
          <c:showVal val="0"/>
          <c:showCatName val="0"/>
          <c:showSerName val="0"/>
          <c:showPercent val="0"/>
          <c:showBubbleSize val="0"/>
        </c:dLbls>
        <c:marker val="1"/>
        <c:smooth val="0"/>
        <c:axId val="1096129968"/>
        <c:axId val="289258703"/>
      </c:lineChart>
      <c:catAx>
        <c:axId val="1096129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58703"/>
        <c:crosses val="autoZero"/>
        <c:auto val="1"/>
        <c:lblAlgn val="ctr"/>
        <c:lblOffset val="100"/>
        <c:noMultiLvlLbl val="0"/>
      </c:catAx>
      <c:valAx>
        <c:axId val="28925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12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[Sales_MIS_Project Excel.xlsx.xlsx]Category_Analysis!PivotTable3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Category Revenue &amp; Profit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Category_Analysis!$B$3</c:f>
              <c:strCache>
                <c:ptCount val="1"/>
                <c:pt idx="0">
                  <c:v>Sum of Revenue</c:v>
                </c:pt>
              </c:strCache>
            </c:strRef>
          </c:tx>
          <c:spPr>
            <a:solidFill>
              <a:schemeClr val="accent1"/>
            </a:solidFill>
            <a:ln>
              <a:noFill/>
            </a:ln>
            <a:effectLst/>
          </c:spPr>
          <c:invertIfNegative val="0"/>
          <c:cat>
            <c:strRef>
              <c:f>Category_Analysis!$A$4:$A$8</c:f>
              <c:strCache>
                <c:ptCount val="4"/>
                <c:pt idx="0">
                  <c:v>Accessories</c:v>
                </c:pt>
                <c:pt idx="1">
                  <c:v>Laptops</c:v>
                </c:pt>
                <c:pt idx="2">
                  <c:v>Monitors</c:v>
                </c:pt>
                <c:pt idx="3">
                  <c:v>Printers</c:v>
                </c:pt>
              </c:strCache>
            </c:strRef>
          </c:cat>
          <c:val>
            <c:numRef>
              <c:f>Category_Analysis!$B$4:$B$8</c:f>
              <c:numCache>
                <c:formatCode>General</c:formatCode>
                <c:ptCount val="4"/>
                <c:pt idx="0">
                  <c:v>70999.420000000027</c:v>
                </c:pt>
                <c:pt idx="1">
                  <c:v>844947.86999999988</c:v>
                </c:pt>
                <c:pt idx="2">
                  <c:v>339576.38000000035</c:v>
                </c:pt>
                <c:pt idx="3">
                  <c:v>313027.47000000003</c:v>
                </c:pt>
              </c:numCache>
            </c:numRef>
          </c:val>
          <c:extLst>
            <c:ext xmlns:c16="http://schemas.microsoft.com/office/drawing/2014/chart" uri="{C3380CC4-5D6E-409C-BE32-E72D297353CC}">
              <c16:uniqueId val="{00000000-5FD5-4FD0-9211-C920B4742D08}"/>
            </c:ext>
          </c:extLst>
        </c:ser>
        <c:ser>
          <c:idx val="1"/>
          <c:order val="1"/>
          <c:tx>
            <c:strRef>
              <c:f>Category_Analysis!$C$3</c:f>
              <c:strCache>
                <c:ptCount val="1"/>
                <c:pt idx="0">
                  <c:v>Sum of Profit</c:v>
                </c:pt>
              </c:strCache>
            </c:strRef>
          </c:tx>
          <c:spPr>
            <a:solidFill>
              <a:schemeClr val="accent2"/>
            </a:solidFill>
            <a:ln>
              <a:noFill/>
            </a:ln>
            <a:effectLst/>
          </c:spPr>
          <c:invertIfNegative val="0"/>
          <c:cat>
            <c:strRef>
              <c:f>Category_Analysis!$A$4:$A$8</c:f>
              <c:strCache>
                <c:ptCount val="4"/>
                <c:pt idx="0">
                  <c:v>Accessories</c:v>
                </c:pt>
                <c:pt idx="1">
                  <c:v>Laptops</c:v>
                </c:pt>
                <c:pt idx="2">
                  <c:v>Monitors</c:v>
                </c:pt>
                <c:pt idx="3">
                  <c:v>Printers</c:v>
                </c:pt>
              </c:strCache>
            </c:strRef>
          </c:cat>
          <c:val>
            <c:numRef>
              <c:f>Category_Analysis!$C$4:$C$8</c:f>
              <c:numCache>
                <c:formatCode>General</c:formatCode>
                <c:ptCount val="4"/>
                <c:pt idx="0">
                  <c:v>20736.269999999993</c:v>
                </c:pt>
                <c:pt idx="1">
                  <c:v>248787.73999999996</c:v>
                </c:pt>
                <c:pt idx="2">
                  <c:v>99655.570000000036</c:v>
                </c:pt>
                <c:pt idx="3">
                  <c:v>90112.790000000037</c:v>
                </c:pt>
              </c:numCache>
            </c:numRef>
          </c:val>
          <c:extLst>
            <c:ext xmlns:c16="http://schemas.microsoft.com/office/drawing/2014/chart" uri="{C3380CC4-5D6E-409C-BE32-E72D297353CC}">
              <c16:uniqueId val="{00000001-5FD5-4FD0-9211-C920B4742D08}"/>
            </c:ext>
          </c:extLst>
        </c:ser>
        <c:dLbls>
          <c:showLegendKey val="0"/>
          <c:showVal val="0"/>
          <c:showCatName val="0"/>
          <c:showSerName val="0"/>
          <c:showPercent val="0"/>
          <c:showBubbleSize val="0"/>
        </c:dLbls>
        <c:gapWidth val="219"/>
        <c:overlap val="-27"/>
        <c:axId val="1100999472"/>
        <c:axId val="289247183"/>
      </c:barChart>
      <c:catAx>
        <c:axId val="110099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47183"/>
        <c:crosses val="autoZero"/>
        <c:auto val="1"/>
        <c:lblAlgn val="ctr"/>
        <c:lblOffset val="100"/>
        <c:noMultiLvlLbl val="0"/>
      </c:catAx>
      <c:valAx>
        <c:axId val="28924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999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[Sales_MIS_Project Excel.xlsx.xlsx]Region_Analysis!PivotTable4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Regional Revenue Performance</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Region_Analysis!$B$3</c:f>
              <c:strCache>
                <c:ptCount val="1"/>
                <c:pt idx="0">
                  <c:v>Total</c:v>
                </c:pt>
              </c:strCache>
            </c:strRef>
          </c:tx>
          <c:spPr>
            <a:solidFill>
              <a:schemeClr val="accent1"/>
            </a:solidFill>
            <a:ln>
              <a:noFill/>
            </a:ln>
            <a:effectLst/>
          </c:spPr>
          <c:invertIfNegative val="0"/>
          <c:cat>
            <c:strRef>
              <c:f>Region_Analysis!$A$4:$A$8</c:f>
              <c:strCache>
                <c:ptCount val="4"/>
                <c:pt idx="0">
                  <c:v>East</c:v>
                </c:pt>
                <c:pt idx="1">
                  <c:v>North</c:v>
                </c:pt>
                <c:pt idx="2">
                  <c:v>South</c:v>
                </c:pt>
                <c:pt idx="3">
                  <c:v>West</c:v>
                </c:pt>
              </c:strCache>
            </c:strRef>
          </c:cat>
          <c:val>
            <c:numRef>
              <c:f>Region_Analysis!$B$4:$B$8</c:f>
              <c:numCache>
                <c:formatCode>General</c:formatCode>
                <c:ptCount val="4"/>
                <c:pt idx="0">
                  <c:v>419782.95</c:v>
                </c:pt>
                <c:pt idx="1">
                  <c:v>405818.46</c:v>
                </c:pt>
                <c:pt idx="2">
                  <c:v>370097.30000000022</c:v>
                </c:pt>
                <c:pt idx="3">
                  <c:v>372852.43000000023</c:v>
                </c:pt>
              </c:numCache>
            </c:numRef>
          </c:val>
          <c:extLst>
            <c:ext xmlns:c16="http://schemas.microsoft.com/office/drawing/2014/chart" uri="{C3380CC4-5D6E-409C-BE32-E72D297353CC}">
              <c16:uniqueId val="{00000000-549F-4BAA-84DE-5EAFE3A80FEC}"/>
            </c:ext>
          </c:extLst>
        </c:ser>
        <c:dLbls>
          <c:showLegendKey val="0"/>
          <c:showVal val="0"/>
          <c:showCatName val="0"/>
          <c:showSerName val="0"/>
          <c:showPercent val="0"/>
          <c:showBubbleSize val="0"/>
        </c:dLbls>
        <c:gapWidth val="219"/>
        <c:axId val="413190687"/>
        <c:axId val="289230383"/>
      </c:barChart>
      <c:catAx>
        <c:axId val="41319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30383"/>
        <c:crosses val="autoZero"/>
        <c:auto val="1"/>
        <c:lblAlgn val="ctr"/>
        <c:lblOffset val="100"/>
        <c:noMultiLvlLbl val="0"/>
      </c:catAx>
      <c:valAx>
        <c:axId val="289230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19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[Sales_MIS_Project Excel.xlsx.xlsx]SalesRep_Analysis!PivotTable5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Rep Revenue &amp; Profit Performance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SalesRep_Analysis!$B$3</c:f>
              <c:strCache>
                <c:ptCount val="1"/>
                <c:pt idx="0">
                  <c:v>Sum of Revenue</c:v>
                </c:pt>
              </c:strCache>
            </c:strRef>
          </c:tx>
          <c:spPr>
            <a:solidFill>
              <a:schemeClr val="accent1"/>
            </a:solidFill>
            <a:ln>
              <a:noFill/>
            </a:ln>
            <a:effectLst/>
          </c:spPr>
          <c:invertIfNegative val="0"/>
          <c:cat>
            <c:strRef>
              <c:f>SalesRep_Analysis!$A$4:$A$10</c:f>
              <c:strCache>
                <c:ptCount val="6"/>
                <c:pt idx="0">
                  <c:v>Aarav Sharma</c:v>
                </c:pt>
                <c:pt idx="1">
                  <c:v>Ananya Singh</c:v>
                </c:pt>
                <c:pt idx="2">
                  <c:v>Diya Patel</c:v>
                </c:pt>
                <c:pt idx="3">
                  <c:v>Kabir Shah</c:v>
                </c:pt>
                <c:pt idx="4">
                  <c:v>Meera Iyer</c:v>
                </c:pt>
                <c:pt idx="5">
                  <c:v>Rohan Mehta</c:v>
                </c:pt>
              </c:strCache>
            </c:strRef>
          </c:cat>
          <c:val>
            <c:numRef>
              <c:f>SalesRep_Analysis!$B$4:$B$10</c:f>
              <c:numCache>
                <c:formatCode>General</c:formatCode>
                <c:ptCount val="6"/>
                <c:pt idx="0">
                  <c:v>274804.54000000004</c:v>
                </c:pt>
                <c:pt idx="1">
                  <c:v>230719.4200000001</c:v>
                </c:pt>
                <c:pt idx="2">
                  <c:v>264212.3000000001</c:v>
                </c:pt>
                <c:pt idx="3">
                  <c:v>315763.03000000014</c:v>
                </c:pt>
                <c:pt idx="4">
                  <c:v>220346.25000000006</c:v>
                </c:pt>
                <c:pt idx="5">
                  <c:v>262705.60000000003</c:v>
                </c:pt>
              </c:numCache>
            </c:numRef>
          </c:val>
          <c:extLst>
            <c:ext xmlns:c16="http://schemas.microsoft.com/office/drawing/2014/chart" uri="{C3380CC4-5D6E-409C-BE32-E72D297353CC}">
              <c16:uniqueId val="{00000000-C74D-4CA6-803F-CEA9FCE5D02D}"/>
            </c:ext>
          </c:extLst>
        </c:ser>
        <c:ser>
          <c:idx val="1"/>
          <c:order val="1"/>
          <c:tx>
            <c:strRef>
              <c:f>SalesRep_Analysis!$C$3</c:f>
              <c:strCache>
                <c:ptCount val="1"/>
                <c:pt idx="0">
                  <c:v>Sum of Profit</c:v>
                </c:pt>
              </c:strCache>
            </c:strRef>
          </c:tx>
          <c:spPr>
            <a:solidFill>
              <a:schemeClr val="accent2"/>
            </a:solidFill>
            <a:ln>
              <a:noFill/>
            </a:ln>
            <a:effectLst/>
          </c:spPr>
          <c:invertIfNegative val="0"/>
          <c:cat>
            <c:strRef>
              <c:f>SalesRep_Analysis!$A$4:$A$10</c:f>
              <c:strCache>
                <c:ptCount val="6"/>
                <c:pt idx="0">
                  <c:v>Aarav Sharma</c:v>
                </c:pt>
                <c:pt idx="1">
                  <c:v>Ananya Singh</c:v>
                </c:pt>
                <c:pt idx="2">
                  <c:v>Diya Patel</c:v>
                </c:pt>
                <c:pt idx="3">
                  <c:v>Kabir Shah</c:v>
                </c:pt>
                <c:pt idx="4">
                  <c:v>Meera Iyer</c:v>
                </c:pt>
                <c:pt idx="5">
                  <c:v>Rohan Mehta</c:v>
                </c:pt>
              </c:strCache>
            </c:strRef>
          </c:cat>
          <c:val>
            <c:numRef>
              <c:f>SalesRep_Analysis!$C$4:$C$10</c:f>
              <c:numCache>
                <c:formatCode>General</c:formatCode>
                <c:ptCount val="6"/>
                <c:pt idx="0">
                  <c:v>76865.539999999994</c:v>
                </c:pt>
                <c:pt idx="1">
                  <c:v>70162.209999999992</c:v>
                </c:pt>
                <c:pt idx="2">
                  <c:v>75656.079999999973</c:v>
                </c:pt>
                <c:pt idx="3">
                  <c:v>93632.99</c:v>
                </c:pt>
                <c:pt idx="4">
                  <c:v>63606.999999999993</c:v>
                </c:pt>
                <c:pt idx="5">
                  <c:v>79368.550000000032</c:v>
                </c:pt>
              </c:numCache>
            </c:numRef>
          </c:val>
          <c:extLst>
            <c:ext xmlns:c16="http://schemas.microsoft.com/office/drawing/2014/chart" uri="{C3380CC4-5D6E-409C-BE32-E72D297353CC}">
              <c16:uniqueId val="{00000001-C74D-4CA6-803F-CEA9FCE5D02D}"/>
            </c:ext>
          </c:extLst>
        </c:ser>
        <c:dLbls>
          <c:showLegendKey val="0"/>
          <c:showVal val="0"/>
          <c:showCatName val="0"/>
          <c:showSerName val="0"/>
          <c:showPercent val="0"/>
          <c:showBubbleSize val="0"/>
        </c:dLbls>
        <c:gapWidth val="219"/>
        <c:overlap val="-27"/>
        <c:axId val="1095757984"/>
        <c:axId val="289250543"/>
      </c:barChart>
      <c:catAx>
        <c:axId val="109575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50543"/>
        <c:crosses val="autoZero"/>
        <c:auto val="1"/>
        <c:lblAlgn val="ctr"/>
        <c:lblOffset val="100"/>
        <c:noMultiLvlLbl val="0"/>
      </c:catAx>
      <c:valAx>
        <c:axId val="28925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757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[Sales_MIS_Project Excel.xlsx.xlsx]Trend_Analysis!PivotTable2</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Monthly Sales Revenue Trend – 2025</a:t>
            </a:r>
            <a:endParaRPr lang="en-IN"/>
          </a:p>
        </c:rich>
      </c:tx>
      <c:overlay val="0"/>
      <c:spPr>
        <a:solidFill>
          <a:schemeClr val="bg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Trend_Analysis!$B$3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Trend_Analysis!$A$4:$A$17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2025</c:v>
                  </c:pt>
                </c:lvl>
              </c:multiLvlStrCache>
            </c:multiLvlStrRef>
          </c:cat>
          <c:val>
            <c:numRef>
              <c:f>Trend_Analysis!$B$4:$B$17</c:f>
              <c:numCache>
                <c:formatCode>General</c:formatCode>
                <c:ptCount val="12"/>
                <c:pt idx="0">
                  <c:v>171519.03000000003</c:v>
                </c:pt>
                <c:pt idx="1">
                  <c:v>130421.45999999996</c:v>
                </c:pt>
                <c:pt idx="2">
                  <c:v>111334.26000000002</c:v>
                </c:pt>
                <c:pt idx="3">
                  <c:v>135516.07999999999</c:v>
                </c:pt>
                <c:pt idx="4">
                  <c:v>110195.21999999997</c:v>
                </c:pt>
                <c:pt idx="5">
                  <c:v>81732.39999999998</c:v>
                </c:pt>
                <c:pt idx="6">
                  <c:v>161144.95999999999</c:v>
                </c:pt>
                <c:pt idx="7">
                  <c:v>166164.42000000001</c:v>
                </c:pt>
                <c:pt idx="8">
                  <c:v>151028.03000000006</c:v>
                </c:pt>
                <c:pt idx="9">
                  <c:v>110986.31000000001</c:v>
                </c:pt>
                <c:pt idx="10">
                  <c:v>116185.74000000002</c:v>
                </c:pt>
                <c:pt idx="11">
                  <c:v>122323.22999999997</c:v>
                </c:pt>
              </c:numCache>
            </c:numRef>
          </c:val>
          <c:smooth val="0"/>
          <c:extLst>
            <c:ext xmlns:c16="http://schemas.microsoft.com/office/drawing/2014/chart" uri="{C3380CC4-5D6E-409C-BE32-E72D297353CC}">
              <c16:uniqueId val="{00000000-0B6B-42FA-B548-D7EE05D02CB1}"/>
            </c:ext>
          </c:extLst>
        </c:ser>
        <c:dLbls>
          <c:showLegendKey val="0"/>
          <c:showVal val="0"/>
          <c:showCatName val="0"/>
          <c:showSerName val="0"/>
          <c:showPercent val="0"/>
          <c:showBubbleSize val="0"/>
        </c:dLbls>
        <c:marker val="1"/>
        <c:smooth val="0"/>
        <c:axId val="1096129968"/>
        <c:axId val="289258703"/>
      </c:lineChart>
      <c:catAx>
        <c:axId val="10961299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58703"/>
        <c:crosses val="autoZero"/>
        <c:auto val="1"/>
        <c:lblAlgn val="ctr"/>
        <c:lblOffset val="100"/>
        <c:noMultiLvlLbl val="0"/>
      </c:catAx>
      <c:valAx>
        <c:axId val="28925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129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[Sales_MIS_Project Excel.xlsx.xlsx]Category_Analysis!PivotTable3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Category Revenue &amp; Profit Performance</a:t>
            </a:r>
            <a:endParaRPr lang="en-IN"/>
          </a:p>
        </c:rich>
      </c:tx>
      <c:overlay val="0"/>
      <c:spPr>
        <a:solidFill>
          <a:schemeClr val="bg1"/>
        </a:solid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Category_Analysis!$B$3</c:f>
              <c:strCache>
                <c:ptCount val="1"/>
                <c:pt idx="0">
                  <c:v>Sum of Revenue</c:v>
                </c:pt>
              </c:strCache>
            </c:strRef>
          </c:tx>
          <c:spPr>
            <a:solidFill>
              <a:schemeClr val="accent1"/>
            </a:solidFill>
            <a:ln>
              <a:noFill/>
            </a:ln>
            <a:effectLst/>
          </c:spPr>
          <c:invertIfNegative val="0"/>
          <c:cat>
            <c:strRef>
              <c:f>Category_Analysis!$A$4:$A$8</c:f>
              <c:strCache>
                <c:ptCount val="4"/>
                <c:pt idx="0">
                  <c:v>Accessories</c:v>
                </c:pt>
                <c:pt idx="1">
                  <c:v>Laptops</c:v>
                </c:pt>
                <c:pt idx="2">
                  <c:v>Monitors</c:v>
                </c:pt>
                <c:pt idx="3">
                  <c:v>Printers</c:v>
                </c:pt>
              </c:strCache>
            </c:strRef>
          </c:cat>
          <c:val>
            <c:numRef>
              <c:f>Category_Analysis!$B$4:$B$8</c:f>
              <c:numCache>
                <c:formatCode>General</c:formatCode>
                <c:ptCount val="4"/>
                <c:pt idx="0">
                  <c:v>70999.420000000027</c:v>
                </c:pt>
                <c:pt idx="1">
                  <c:v>844947.86999999988</c:v>
                </c:pt>
                <c:pt idx="2">
                  <c:v>339576.38000000035</c:v>
                </c:pt>
                <c:pt idx="3">
                  <c:v>313027.47000000003</c:v>
                </c:pt>
              </c:numCache>
            </c:numRef>
          </c:val>
          <c:extLst>
            <c:ext xmlns:c16="http://schemas.microsoft.com/office/drawing/2014/chart" uri="{C3380CC4-5D6E-409C-BE32-E72D297353CC}">
              <c16:uniqueId val="{00000003-CD6F-4587-87F1-253985F78AAB}"/>
            </c:ext>
          </c:extLst>
        </c:ser>
        <c:ser>
          <c:idx val="1"/>
          <c:order val="1"/>
          <c:tx>
            <c:strRef>
              <c:f>Category_Analysis!$C$3</c:f>
              <c:strCache>
                <c:ptCount val="1"/>
                <c:pt idx="0">
                  <c:v>Sum of Profit</c:v>
                </c:pt>
              </c:strCache>
            </c:strRef>
          </c:tx>
          <c:spPr>
            <a:solidFill>
              <a:schemeClr val="accent2"/>
            </a:solidFill>
            <a:ln>
              <a:noFill/>
            </a:ln>
            <a:effectLst/>
          </c:spPr>
          <c:invertIfNegative val="0"/>
          <c:cat>
            <c:strRef>
              <c:f>Category_Analysis!$A$4:$A$8</c:f>
              <c:strCache>
                <c:ptCount val="4"/>
                <c:pt idx="0">
                  <c:v>Accessories</c:v>
                </c:pt>
                <c:pt idx="1">
                  <c:v>Laptops</c:v>
                </c:pt>
                <c:pt idx="2">
                  <c:v>Monitors</c:v>
                </c:pt>
                <c:pt idx="3">
                  <c:v>Printers</c:v>
                </c:pt>
              </c:strCache>
            </c:strRef>
          </c:cat>
          <c:val>
            <c:numRef>
              <c:f>Category_Analysis!$C$4:$C$8</c:f>
              <c:numCache>
                <c:formatCode>General</c:formatCode>
                <c:ptCount val="4"/>
                <c:pt idx="0">
                  <c:v>20736.269999999993</c:v>
                </c:pt>
                <c:pt idx="1">
                  <c:v>248787.73999999996</c:v>
                </c:pt>
                <c:pt idx="2">
                  <c:v>99655.570000000036</c:v>
                </c:pt>
                <c:pt idx="3">
                  <c:v>90112.790000000037</c:v>
                </c:pt>
              </c:numCache>
            </c:numRef>
          </c:val>
          <c:extLst>
            <c:ext xmlns:c16="http://schemas.microsoft.com/office/drawing/2014/chart" uri="{C3380CC4-5D6E-409C-BE32-E72D297353CC}">
              <c16:uniqueId val="{00000005-CD6F-4587-87F1-253985F78AAB}"/>
            </c:ext>
          </c:extLst>
        </c:ser>
        <c:dLbls>
          <c:showLegendKey val="0"/>
          <c:showVal val="0"/>
          <c:showCatName val="0"/>
          <c:showSerName val="0"/>
          <c:showPercent val="0"/>
          <c:showBubbleSize val="0"/>
        </c:dLbls>
        <c:gapWidth val="219"/>
        <c:overlap val="-27"/>
        <c:axId val="1100999472"/>
        <c:axId val="289247183"/>
      </c:barChart>
      <c:catAx>
        <c:axId val="110099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47183"/>
        <c:crosses val="autoZero"/>
        <c:auto val="1"/>
        <c:lblAlgn val="ctr"/>
        <c:lblOffset val="100"/>
        <c:noMultiLvlLbl val="0"/>
      </c:catAx>
      <c:valAx>
        <c:axId val="289247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999472"/>
        <c:crosses val="autoZero"/>
        <c:crossBetween val="between"/>
      </c:valAx>
    </c:plotArea>
    <c:plotVisOnly val="1"/>
    <c:dispBlanksAs val="gap"/>
    <c:showDLblsOverMax val="0"/>
    <c:extLst/>
  </c:chart>
  <c:spPr>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[Sales_MIS_Project Excel.xlsx.xlsx]Region_Analysis!PivotTable4</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Regional Revenue Performance</a:t>
            </a:r>
            <a:endParaRPr lang="en-IN"/>
          </a:p>
        </c:rich>
      </c:tx>
      <c:overlay val="0"/>
      <c:spPr>
        <a:solidFill>
          <a:schemeClr val="bg1"/>
        </a:solid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Region_Analysis!$B$3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Region_Analysis!$A$4:$A$8</c:f>
              <c:strCache>
                <c:ptCount val="4"/>
                <c:pt idx="0">
                  <c:v>East</c:v>
                </c:pt>
                <c:pt idx="1">
                  <c:v>North</c:v>
                </c:pt>
                <c:pt idx="2">
                  <c:v>South</c:v>
                </c:pt>
                <c:pt idx="3">
                  <c:v>West</c:v>
                </c:pt>
              </c:strCache>
            </c:strRef>
          </c:cat>
          <c:val>
            <c:numRef>
              <c:f>Region_Analysis!$B$4:$B$8</c:f>
              <c:numCache>
                <c:formatCode>General</c:formatCode>
                <c:ptCount val="4"/>
                <c:pt idx="0">
                  <c:v>419782.95</c:v>
                </c:pt>
                <c:pt idx="1">
                  <c:v>405818.46</c:v>
                </c:pt>
                <c:pt idx="2">
                  <c:v>370097.30000000022</c:v>
                </c:pt>
                <c:pt idx="3">
                  <c:v>372852.43000000023</c:v>
                </c:pt>
              </c:numCache>
            </c:numRef>
          </c:val>
          <c:extLst>
            <c:ext xmlns:c16="http://schemas.microsoft.com/office/drawing/2014/chart" uri="{C3380CC4-5D6E-409C-BE32-E72D297353CC}">
              <c16:uniqueId val="{00000000-908F-45DC-A476-6AB0C198565E}"/>
            </c:ext>
          </c:extLst>
        </c:ser>
        <c:dLbls>
          <c:dLblPos val="outEnd"/>
          <c:showLegendKey val="0"/>
          <c:showVal val="1"/>
          <c:showCatName val="0"/>
          <c:showSerName val="0"/>
          <c:showPercent val="0"/>
          <c:showBubbleSize val="0"/>
        </c:dLbls>
        <c:gapWidth val="219"/>
        <c:axId val="413190687"/>
        <c:axId val="289230383"/>
      </c:barChart>
      <c:catAx>
        <c:axId val="413190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30383"/>
        <c:crosses val="autoZero"/>
        <c:auto val="1"/>
        <c:lblAlgn val="ctr"/>
        <c:lblOffset val="100"/>
        <c:noMultiLvlLbl val="0"/>
      </c:catAx>
      <c:valAx>
        <c:axId val="28923038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319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[Sales_MIS_Project Excel.xlsx.xlsx]SalesRep_Analysis!PivotTable5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Sales Rep Revenue &amp; Profit Performance</a:t>
            </a:r>
            <a:endParaRPr lang="en-IN"/>
          </a:p>
        </c:rich>
      </c:tx>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SalesRep_Analysis!$B$3</c:f>
              <c:strCache>
                <c:ptCount val="1"/>
                <c:pt idx="0">
                  <c:v>Sum of Revenue</c:v>
                </c:pt>
              </c:strCache>
            </c:strRef>
          </c:tx>
          <c:spPr>
            <a:solidFill>
              <a:schemeClr val="accent1"/>
            </a:solidFill>
            <a:ln>
              <a:noFill/>
            </a:ln>
            <a:effectLst/>
          </c:spPr>
          <c:invertIfNegative val="0"/>
          <c:cat>
            <c:strRef>
              <c:f>SalesRep_Analysis!$A$4:$A$10</c:f>
              <c:strCache>
                <c:ptCount val="6"/>
                <c:pt idx="0">
                  <c:v>Aarav Sharma</c:v>
                </c:pt>
                <c:pt idx="1">
                  <c:v>Ananya Singh</c:v>
                </c:pt>
                <c:pt idx="2">
                  <c:v>Diya Patel</c:v>
                </c:pt>
                <c:pt idx="3">
                  <c:v>Kabir Shah</c:v>
                </c:pt>
                <c:pt idx="4">
                  <c:v>Meera Iyer</c:v>
                </c:pt>
                <c:pt idx="5">
                  <c:v>Rohan Mehta</c:v>
                </c:pt>
              </c:strCache>
            </c:strRef>
          </c:cat>
          <c:val>
            <c:numRef>
              <c:f>SalesRep_Analysis!$B$4:$B$10</c:f>
              <c:numCache>
                <c:formatCode>General</c:formatCode>
                <c:ptCount val="6"/>
                <c:pt idx="0">
                  <c:v>274804.54000000004</c:v>
                </c:pt>
                <c:pt idx="1">
                  <c:v>230719.4200000001</c:v>
                </c:pt>
                <c:pt idx="2">
                  <c:v>264212.3000000001</c:v>
                </c:pt>
                <c:pt idx="3">
                  <c:v>315763.03000000014</c:v>
                </c:pt>
                <c:pt idx="4">
                  <c:v>220346.25000000006</c:v>
                </c:pt>
                <c:pt idx="5">
                  <c:v>262705.60000000003</c:v>
                </c:pt>
              </c:numCache>
            </c:numRef>
          </c:val>
          <c:extLst>
            <c:ext xmlns:c16="http://schemas.microsoft.com/office/drawing/2014/chart" uri="{C3380CC4-5D6E-409C-BE32-E72D297353CC}">
              <c16:uniqueId val="{00000000-9687-4DB5-8BD1-151DC6F3D73B}"/>
            </c:ext>
          </c:extLst>
        </c:ser>
        <c:ser>
          <c:idx val="1"/>
          <c:order val="1"/>
          <c:tx>
            <c:strRef>
              <c:f>SalesRep_Analysis!$C$3</c:f>
              <c:strCache>
                <c:ptCount val="1"/>
                <c:pt idx="0">
                  <c:v>Sum of Profit</c:v>
                </c:pt>
              </c:strCache>
            </c:strRef>
          </c:tx>
          <c:spPr>
            <a:solidFill>
              <a:schemeClr val="accent2"/>
            </a:solidFill>
            <a:ln>
              <a:noFill/>
            </a:ln>
            <a:effectLst/>
          </c:spPr>
          <c:invertIfNegative val="0"/>
          <c:cat>
            <c:strRef>
              <c:f>SalesRep_Analysis!$A$4:$A$10</c:f>
              <c:strCache>
                <c:ptCount val="6"/>
                <c:pt idx="0">
                  <c:v>Aarav Sharma</c:v>
                </c:pt>
                <c:pt idx="1">
                  <c:v>Ananya Singh</c:v>
                </c:pt>
                <c:pt idx="2">
                  <c:v>Diya Patel</c:v>
                </c:pt>
                <c:pt idx="3">
                  <c:v>Kabir Shah</c:v>
                </c:pt>
                <c:pt idx="4">
                  <c:v>Meera Iyer</c:v>
                </c:pt>
                <c:pt idx="5">
                  <c:v>Rohan Mehta</c:v>
                </c:pt>
              </c:strCache>
            </c:strRef>
          </c:cat>
          <c:val>
            <c:numRef>
              <c:f>SalesRep_Analysis!$C$4:$C$10</c:f>
              <c:numCache>
                <c:formatCode>General</c:formatCode>
                <c:ptCount val="6"/>
                <c:pt idx="0">
                  <c:v>76865.539999999994</c:v>
                </c:pt>
                <c:pt idx="1">
                  <c:v>70162.209999999992</c:v>
                </c:pt>
                <c:pt idx="2">
                  <c:v>75656.079999999973</c:v>
                </c:pt>
                <c:pt idx="3">
                  <c:v>93632.99</c:v>
                </c:pt>
                <c:pt idx="4">
                  <c:v>63606.999999999993</c:v>
                </c:pt>
                <c:pt idx="5">
                  <c:v>79368.550000000032</c:v>
                </c:pt>
              </c:numCache>
            </c:numRef>
          </c:val>
          <c:extLst>
            <c:ext xmlns:c16="http://schemas.microsoft.com/office/drawing/2014/chart" uri="{C3380CC4-5D6E-409C-BE32-E72D297353CC}">
              <c16:uniqueId val="{00000001-9687-4DB5-8BD1-151DC6F3D73B}"/>
            </c:ext>
          </c:extLst>
        </c:ser>
        <c:dLbls>
          <c:showLegendKey val="0"/>
          <c:showVal val="0"/>
          <c:showCatName val="0"/>
          <c:showSerName val="0"/>
          <c:showPercent val="0"/>
          <c:showBubbleSize val="0"/>
        </c:dLbls>
        <c:gapWidth val="219"/>
        <c:overlap val="-27"/>
        <c:axId val="1095757984"/>
        <c:axId val="289250543"/>
      </c:barChart>
      <c:catAx>
        <c:axId val="109575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50543"/>
        <c:crosses val="autoZero"/>
        <c:auto val="1"/>
        <c:lblAlgn val="ctr"/>
        <c:lblOffset val="100"/>
        <c:noMultiLvlLbl val="0"/>
      </c:catAx>
      <c:valAx>
        <c:axId val="2892505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757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30480</xdr:colOff>
      <xdr:row>5</xdr:row>
      <xdr:rowOff>41910</xdr:rowOff>
    </xdr:from>
    <xdr:to>
      <xdr:col>11</xdr:col>
      <xdr:colOff>335280</xdr:colOff>
      <xdr:row>20</xdr:row>
      <xdr:rowOff>41910</xdr:rowOff>
    </xdr:to>
    <xdr:graphicFrame macro="">
      <xdr:nvGraphicFramePr>
        <xdr:cNvPr id="2" name="Monthly Sales Revenue Trend – 2025">
          <a:extLst>
            <a:ext uri="{FF2B5EF4-FFF2-40B4-BE49-F238E27FC236}">
              <a16:creationId xmlns:a16="http://schemas.microsoft.com/office/drawing/2014/main" id="{75CCB1DB-EEC4-B9A2-3E5C-5C91C1910A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449580</xdr:colOff>
      <xdr:row>1</xdr:row>
      <xdr:rowOff>156210</xdr:rowOff>
    </xdr:from>
    <xdr:to>
      <xdr:col>11</xdr:col>
      <xdr:colOff>144780</xdr:colOff>
      <xdr:row>16</xdr:row>
      <xdr:rowOff>156210</xdr:rowOff>
    </xdr:to>
    <xdr:graphicFrame macro="">
      <xdr:nvGraphicFramePr>
        <xdr:cNvPr id="2" name="Chart 1">
          <a:extLst>
            <a:ext uri="{FF2B5EF4-FFF2-40B4-BE49-F238E27FC236}">
              <a16:creationId xmlns:a16="http://schemas.microsoft.com/office/drawing/2014/main" id="{4DE52AEC-B311-26C7-3125-99B17E447F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144780</xdr:colOff>
      <xdr:row>2</xdr:row>
      <xdr:rowOff>11430</xdr:rowOff>
    </xdr:from>
    <xdr:to>
      <xdr:col>10</xdr:col>
      <xdr:colOff>449580</xdr:colOff>
      <xdr:row>17</xdr:row>
      <xdr:rowOff>11430</xdr:rowOff>
    </xdr:to>
    <xdr:graphicFrame macro="">
      <xdr:nvGraphicFramePr>
        <xdr:cNvPr id="2" name="Chart 1">
          <a:extLst>
            <a:ext uri="{FF2B5EF4-FFF2-40B4-BE49-F238E27FC236}">
              <a16:creationId xmlns:a16="http://schemas.microsoft.com/office/drawing/2014/main" id="{736662AA-8B72-031C-9DBA-5C0FF2E16F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434340</xdr:colOff>
      <xdr:row>1</xdr:row>
      <xdr:rowOff>179070</xdr:rowOff>
    </xdr:from>
    <xdr:to>
      <xdr:col>11</xdr:col>
      <xdr:colOff>129540</xdr:colOff>
      <xdr:row>16</xdr:row>
      <xdr:rowOff>179070</xdr:rowOff>
    </xdr:to>
    <xdr:graphicFrame macro="">
      <xdr:nvGraphicFramePr>
        <xdr:cNvPr id="2" name="Chart 1">
          <a:extLst>
            <a:ext uri="{FF2B5EF4-FFF2-40B4-BE49-F238E27FC236}">
              <a16:creationId xmlns:a16="http://schemas.microsoft.com/office/drawing/2014/main" id="{6AFB23FB-B7CD-C047-557E-611AA5D5C0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8</xdr:row>
      <xdr:rowOff>167640</xdr:rowOff>
    </xdr:from>
    <xdr:to>
      <xdr:col>3</xdr:col>
      <xdr:colOff>320040</xdr:colOff>
      <xdr:row>23</xdr:row>
      <xdr:rowOff>167640</xdr:rowOff>
    </xdr:to>
    <xdr:graphicFrame macro="">
      <xdr:nvGraphicFramePr>
        <xdr:cNvPr id="2" name="Monthly Sales Revenue Trend – 2025">
          <a:extLst>
            <a:ext uri="{FF2B5EF4-FFF2-40B4-BE49-F238E27FC236}">
              <a16:creationId xmlns:a16="http://schemas.microsoft.com/office/drawing/2014/main" id="{ED8D7E89-8B59-426B-BE67-1BA6F61BF5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609600</xdr:colOff>
      <xdr:row>8</xdr:row>
      <xdr:rowOff>161925</xdr:rowOff>
    </xdr:from>
    <xdr:to>
      <xdr:col>9</xdr:col>
      <xdr:colOff>590550</xdr:colOff>
      <xdr:row>23</xdr:row>
      <xdr:rowOff>161925</xdr:rowOff>
    </xdr:to>
    <xdr:graphicFrame macro="">
      <xdr:nvGraphicFramePr>
        <xdr:cNvPr id="3" name="Chart 2">
          <a:extLst>
            <a:ext uri="{FF2B5EF4-FFF2-40B4-BE49-F238E27FC236}">
              <a16:creationId xmlns:a16="http://schemas.microsoft.com/office/drawing/2014/main" id="{7EC9CCD6-389C-4CFB-9ABB-6DC138D69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25</xdr:row>
      <xdr:rowOff>0</xdr:rowOff>
    </xdr:from>
    <xdr:to>
      <xdr:col>3</xdr:col>
      <xdr:colOff>320040</xdr:colOff>
      <xdr:row>40</xdr:row>
      <xdr:rowOff>0</xdr:rowOff>
    </xdr:to>
    <xdr:graphicFrame macro="">
      <xdr:nvGraphicFramePr>
        <xdr:cNvPr id="4" name="Chart 3">
          <a:extLst>
            <a:ext uri="{FF2B5EF4-FFF2-40B4-BE49-F238E27FC236}">
              <a16:creationId xmlns:a16="http://schemas.microsoft.com/office/drawing/2014/main" id="{74019AD8-5F2A-45BC-991B-5FA6248AD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628650</xdr:colOff>
      <xdr:row>25</xdr:row>
      <xdr:rowOff>0</xdr:rowOff>
    </xdr:from>
    <xdr:to>
      <xdr:col>10</xdr:col>
      <xdr:colOff>15240</xdr:colOff>
      <xdr:row>40</xdr:row>
      <xdr:rowOff>0</xdr:rowOff>
    </xdr:to>
    <xdr:graphicFrame macro="">
      <xdr:nvGraphicFramePr>
        <xdr:cNvPr id="6" name="Chart 5">
          <a:extLst>
            <a:ext uri="{FF2B5EF4-FFF2-40B4-BE49-F238E27FC236}">
              <a16:creationId xmlns:a16="http://schemas.microsoft.com/office/drawing/2014/main" id="{11DC8BC0-A84A-46DF-B0A4-4AFB2E25E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440055</xdr:colOff>
      <xdr:row>1</xdr:row>
      <xdr:rowOff>40004</xdr:rowOff>
    </xdr:from>
    <xdr:to>
      <xdr:col>7</xdr:col>
      <xdr:colOff>371475</xdr:colOff>
      <xdr:row>8</xdr:row>
      <xdr:rowOff>142875</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6FE84A30-B704-5A31-7DA0-232C9F7C85B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850380" y="335279"/>
              <a:ext cx="1931670" cy="13982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lu" refreshedDate="46260.920800810185" createdVersion="8" refreshedVersion="8" minRefreshableVersion="3" recordCount="500" xr:uid="{04D6B7AD-3E39-49AA-A9EA-5E03F70DCEC6}">
  <cacheSource type="worksheet">
    <worksheetSource name="SalesData"/>
  </cacheSource>
  <cacheFields count="21">
    <cacheField name="Order_ID" numFmtId="0">
      <sharedItems/>
    </cacheField>
    <cacheField name="Order_Date" numFmtId="14">
      <sharedItems containsSemiMixedTypes="0" containsNonDate="0" containsDate="1" containsString="0" minDate="2025-01-01T00:00:00" maxDate="2026-01-01T00:00:00" count="270">
        <d v="2025-06-15T00:00:00"/>
        <d v="2025-02-14T00:00:00"/>
        <d v="2025-10-23T00:00:00"/>
        <d v="2025-10-20T00:00:00"/>
        <d v="2025-10-16T00:00:00"/>
        <d v="2025-07-05T00:00:00"/>
        <d v="2025-08-18T00:00:00"/>
        <d v="2025-08-04T00:00:00"/>
        <d v="2025-11-01T00:00:00"/>
        <d v="2025-02-01T00:00:00"/>
        <d v="2025-01-12T00:00:00"/>
        <d v="2025-07-23T00:00:00"/>
        <d v="2025-10-09T00:00:00"/>
        <d v="2025-03-19T00:00:00"/>
        <d v="2025-10-01T00:00:00"/>
        <d v="2025-06-24T00:00:00"/>
        <d v="2025-04-17T00:00:00"/>
        <d v="2025-08-27T00:00:00"/>
        <d v="2025-09-22T00:00:00"/>
        <d v="2025-12-23T00:00:00"/>
        <d v="2025-05-03T00:00:00"/>
        <d v="2025-08-30T00:00:00"/>
        <d v="2025-02-22T00:00:00"/>
        <d v="2025-11-26T00:00:00"/>
        <d v="2025-03-21T00:00:00"/>
        <d v="2025-08-11T00:00:00"/>
        <d v="2025-10-06T00:00:00"/>
        <d v="2025-09-26T00:00:00"/>
        <d v="2025-11-13T00:00:00"/>
        <d v="2025-05-08T00:00:00"/>
        <d v="2025-12-21T00:00:00"/>
        <d v="2025-03-04T00:00:00"/>
        <d v="2025-07-02T00:00:00"/>
        <d v="2025-09-20T00:00:00"/>
        <d v="2025-05-19T00:00:00"/>
        <d v="2025-12-25T00:00:00"/>
        <d v="2025-05-14T00:00:00"/>
        <d v="2025-05-18T00:00:00"/>
        <d v="2025-04-14T00:00:00"/>
        <d v="2025-05-09T00:00:00"/>
        <d v="2025-02-24T00:00:00"/>
        <d v="2025-04-28T00:00:00"/>
        <d v="2025-01-08T00:00:00"/>
        <d v="2025-11-03T00:00:00"/>
        <d v="2025-10-08T00:00:00"/>
        <d v="2025-05-23T00:00:00"/>
        <d v="2025-07-21T00:00:00"/>
        <d v="2025-06-16T00:00:00"/>
        <d v="2025-03-10T00:00:00"/>
        <d v="2025-09-08T00:00:00"/>
        <d v="2025-08-31T00:00:00"/>
        <d v="2025-09-10T00:00:00"/>
        <d v="2025-06-19T00:00:00"/>
        <d v="2025-12-11T00:00:00"/>
        <d v="2025-04-18T00:00:00"/>
        <d v="2025-02-27T00:00:00"/>
        <d v="2025-06-04T00:00:00"/>
        <d v="2025-10-29T00:00:00"/>
        <d v="2025-10-11T00:00:00"/>
        <d v="2025-09-06T00:00:00"/>
        <d v="2025-07-27T00:00:00"/>
        <d v="2025-10-12T00:00:00"/>
        <d v="2025-07-16T00:00:00"/>
        <d v="2025-03-06T00:00:00"/>
        <d v="2025-08-10T00:00:00"/>
        <d v="2025-02-07T00:00:00"/>
        <d v="2025-01-01T00:00:00"/>
        <d v="2025-12-24T00:00:00"/>
        <d v="2025-01-06T00:00:00"/>
        <d v="2025-02-11T00:00:00"/>
        <d v="2025-12-16T00:00:00"/>
        <d v="2025-04-10T00:00:00"/>
        <d v="2025-12-07T00:00:00"/>
        <d v="2025-04-05T00:00:00"/>
        <d v="2025-12-01T00:00:00"/>
        <d v="2025-02-25T00:00:00"/>
        <d v="2025-01-16T00:00:00"/>
        <d v="2025-05-12T00:00:00"/>
        <d v="2025-05-22T00:00:00"/>
        <d v="2025-04-04T00:00:00"/>
        <d v="2025-08-24T00:00:00"/>
        <d v="2025-11-29T00:00:00"/>
        <d v="2025-10-03T00:00:00"/>
        <d v="2025-04-12T00:00:00"/>
        <d v="2025-04-29T00:00:00"/>
        <d v="2025-07-29T00:00:00"/>
        <d v="2025-07-28T00:00:00"/>
        <d v="2025-07-06T00:00:00"/>
        <d v="2025-02-15T00:00:00"/>
        <d v="2025-02-04T00:00:00"/>
        <d v="2025-11-08T00:00:00"/>
        <d v="2025-11-14T00:00:00"/>
        <d v="2025-07-03T00:00:00"/>
        <d v="2025-03-02T00:00:00"/>
        <d v="2025-07-19T00:00:00"/>
        <d v="2025-07-07T00:00:00"/>
        <d v="2025-09-19T00:00:00"/>
        <d v="2025-11-09T00:00:00"/>
        <d v="2025-12-14T00:00:00"/>
        <d v="2025-05-10T00:00:00"/>
        <d v="2025-11-24T00:00:00"/>
        <d v="2025-08-02T00:00:00"/>
        <d v="2025-10-18T00:00:00"/>
        <d v="2025-11-23T00:00:00"/>
        <d v="2025-09-23T00:00:00"/>
        <d v="2025-09-02T00:00:00"/>
        <d v="2025-11-22T00:00:00"/>
        <d v="2025-03-28T00:00:00"/>
        <d v="2025-06-18T00:00:00"/>
        <d v="2025-01-14T00:00:00"/>
        <d v="2025-03-16T00:00:00"/>
        <d v="2025-01-22T00:00:00"/>
        <d v="2025-04-13T00:00:00"/>
        <d v="2025-01-18T00:00:00"/>
        <d v="2025-05-31T00:00:00"/>
        <d v="2025-06-14T00:00:00"/>
        <d v="2025-06-27T00:00:00"/>
        <d v="2025-03-29T00:00:00"/>
        <d v="2025-09-09T00:00:00"/>
        <d v="2025-04-20T00:00:00"/>
        <d v="2025-11-18T00:00:00"/>
        <d v="2025-04-16T00:00:00"/>
        <d v="2025-06-28T00:00:00"/>
        <d v="2025-10-24T00:00:00"/>
        <d v="2025-03-26T00:00:00"/>
        <d v="2025-12-22T00:00:00"/>
        <d v="2025-08-09T00:00:00"/>
        <d v="2025-08-21T00:00:00"/>
        <d v="2025-10-22T00:00:00"/>
        <d v="2025-08-22T00:00:00"/>
        <d v="2025-05-21T00:00:00"/>
        <d v="2025-04-25T00:00:00"/>
        <d v="2025-03-08T00:00:00"/>
        <d v="2025-08-28T00:00:00"/>
        <d v="2025-12-18T00:00:00"/>
        <d v="2025-01-30T00:00:00"/>
        <d v="2025-12-03T00:00:00"/>
        <d v="2025-08-03T00:00:00"/>
        <d v="2025-09-13T00:00:00"/>
        <d v="2025-05-30T00:00:00"/>
        <d v="2025-10-07T00:00:00"/>
        <d v="2025-09-14T00:00:00"/>
        <d v="2025-11-17T00:00:00"/>
        <d v="2025-03-13T00:00:00"/>
        <d v="2025-10-17T00:00:00"/>
        <d v="2025-08-17T00:00:00"/>
        <d v="2025-01-26T00:00:00"/>
        <d v="2025-08-29T00:00:00"/>
        <d v="2025-05-20T00:00:00"/>
        <d v="2025-08-20T00:00:00"/>
        <d v="2025-07-15T00:00:00"/>
        <d v="2025-05-11T00:00:00"/>
        <d v="2025-02-17T00:00:00"/>
        <d v="2025-07-11T00:00:00"/>
        <d v="2025-02-18T00:00:00"/>
        <d v="2025-01-15T00:00:00"/>
        <d v="2025-03-03T00:00:00"/>
        <d v="2025-07-09T00:00:00"/>
        <d v="2025-01-25T00:00:00"/>
        <d v="2025-01-03T00:00:00"/>
        <d v="2025-08-13T00:00:00"/>
        <d v="2025-10-14T00:00:00"/>
        <d v="2025-02-19T00:00:00"/>
        <d v="2025-08-15T00:00:00"/>
        <d v="2025-01-21T00:00:00"/>
        <d v="2025-11-04T00:00:00"/>
        <d v="2025-10-26T00:00:00"/>
        <d v="2025-06-21T00:00:00"/>
        <d v="2025-01-11T00:00:00"/>
        <d v="2025-04-02T00:00:00"/>
        <d v="2025-03-12T00:00:00"/>
        <d v="2025-05-04T00:00:00"/>
        <d v="2025-02-05T00:00:00"/>
        <d v="2025-02-13T00:00:00"/>
        <d v="2025-04-24T00:00:00"/>
        <d v="2025-08-14T00:00:00"/>
        <d v="2025-09-12T00:00:00"/>
        <d v="2025-05-28T00:00:00"/>
        <d v="2025-07-14T00:00:00"/>
        <d v="2025-11-20T00:00:00"/>
        <d v="2025-06-30T00:00:00"/>
        <d v="2025-06-05T00:00:00"/>
        <d v="2025-11-28T00:00:00"/>
        <d v="2025-12-17T00:00:00"/>
        <d v="2025-07-31T00:00:00"/>
        <d v="2025-05-26T00:00:00"/>
        <d v="2025-04-21T00:00:00"/>
        <d v="2025-12-12T00:00:00"/>
        <d v="2025-12-06T00:00:00"/>
        <d v="2025-03-11T00:00:00"/>
        <d v="2025-12-13T00:00:00"/>
        <d v="2025-01-07T00:00:00"/>
        <d v="2025-08-05T00:00:00"/>
        <d v="2025-01-02T00:00:00"/>
        <d v="2025-06-23T00:00:00"/>
        <d v="2025-01-31T00:00:00"/>
        <d v="2025-06-03T00:00:00"/>
        <d v="2025-12-05T00:00:00"/>
        <d v="2025-04-27T00:00:00"/>
        <d v="2025-09-29T00:00:00"/>
        <d v="2025-08-07T00:00:00"/>
        <d v="2025-12-15T00:00:00"/>
        <d v="2025-11-06T00:00:00"/>
        <d v="2025-08-16T00:00:00"/>
        <d v="2025-07-04T00:00:00"/>
        <d v="2025-02-02T00:00:00"/>
        <d v="2025-12-10T00:00:00"/>
        <d v="2025-03-15T00:00:00"/>
        <d v="2025-04-22T00:00:00"/>
        <d v="2025-03-31T00:00:00"/>
        <d v="2025-08-26T00:00:00"/>
        <d v="2025-03-22T00:00:00"/>
        <d v="2025-12-31T00:00:00"/>
        <d v="2025-09-25T00:00:00"/>
        <d v="2025-07-25T00:00:00"/>
        <d v="2025-05-13T00:00:00"/>
        <d v="2025-12-30T00:00:00"/>
        <d v="2025-04-15T00:00:00"/>
        <d v="2025-03-24T00:00:00"/>
        <d v="2025-02-09T00:00:00"/>
        <d v="2025-10-04T00:00:00"/>
        <d v="2025-05-01T00:00:00"/>
        <d v="2025-02-06T00:00:00"/>
        <d v="2025-08-08T00:00:00"/>
        <d v="2025-05-16T00:00:00"/>
        <d v="2025-01-23T00:00:00"/>
        <d v="2025-08-25T00:00:00"/>
        <d v="2025-01-29T00:00:00"/>
        <d v="2025-06-10T00:00:00"/>
        <d v="2025-10-02T00:00:00"/>
        <d v="2025-12-28T00:00:00"/>
        <d v="2025-12-04T00:00:00"/>
        <d v="2025-12-02T00:00:00"/>
        <d v="2025-01-20T00:00:00"/>
        <d v="2025-01-10T00:00:00"/>
        <d v="2025-02-26T00:00:00"/>
        <d v="2025-03-25T00:00:00"/>
        <d v="2025-12-19T00:00:00"/>
        <d v="2025-02-20T00:00:00"/>
        <d v="2025-09-03T00:00:00"/>
        <d v="2025-10-31T00:00:00"/>
        <d v="2025-10-28T00:00:00"/>
        <d v="2025-06-06T00:00:00"/>
        <d v="2025-08-23T00:00:00"/>
        <d v="2025-07-12T00:00:00"/>
        <d v="2025-09-17T00:00:00"/>
        <d v="2025-12-08T00:00:00"/>
        <d v="2025-10-13T00:00:00"/>
        <d v="2025-11-15T00:00:00"/>
        <d v="2025-11-19T00:00:00"/>
        <d v="2025-07-24T00:00:00"/>
        <d v="2025-12-09T00:00:00"/>
        <d v="2025-11-10T00:00:00"/>
        <d v="2025-12-27T00:00:00"/>
        <d v="2025-06-13T00:00:00"/>
        <d v="2025-07-01T00:00:00"/>
        <d v="2025-11-07T00:00:00"/>
        <d v="2025-11-21T00:00:00"/>
        <d v="2025-11-12T00:00:00"/>
        <d v="2025-09-15T00:00:00"/>
        <d v="2025-02-21T00:00:00"/>
        <d v="2025-02-08T00:00:00"/>
        <d v="2025-02-10T00:00:00"/>
        <d v="2025-06-25T00:00:00"/>
        <d v="2025-11-11T00:00:00"/>
        <d v="2025-12-20T00:00:00"/>
        <d v="2025-01-17T00:00:00"/>
        <d v="2025-10-15T00:00:00"/>
        <d v="2025-03-27T00:00:00"/>
        <d v="2025-10-05T00:00:00"/>
      </sharedItems>
      <fieldGroup par="20"/>
    </cacheField>
    <cacheField name="Region" numFmtId="0">
      <sharedItems count="4">
        <s v="North"/>
        <s v="East"/>
        <s v="South"/>
        <s v="West"/>
      </sharedItems>
    </cacheField>
    <cacheField name="Sales_Rep" numFmtId="0">
      <sharedItems count="6">
        <s v="Kabir Shah"/>
        <s v="Diya Patel"/>
        <s v="Ananya Singh"/>
        <s v="Rohan Mehta"/>
        <s v="Meera Iyer"/>
        <s v="Aarav Sharma"/>
      </sharedItems>
    </cacheField>
    <cacheField name="Customer" numFmtId="0">
      <sharedItems/>
    </cacheField>
    <cacheField name="Channel" numFmtId="0">
      <sharedItems/>
    </cacheField>
    <cacheField name="Category" numFmtId="0">
      <sharedItems count="4">
        <s v="Laptops"/>
        <s v="Accessories"/>
        <s v="Monitors"/>
        <s v="Printers"/>
      </sharedItems>
    </cacheField>
    <cacheField name="Product" numFmtId="0">
      <sharedItems/>
    </cacheField>
    <cacheField name="Units" numFmtId="0">
      <sharedItems containsSemiMixedTypes="0" containsString="0" containsNumber="1" containsInteger="1" minValue="1" maxValue="15"/>
    </cacheField>
    <cacheField name="Unit_Price" numFmtId="0">
      <sharedItems containsSemiMixedTypes="0" containsString="0" containsNumber="1" minValue="33.270000000000003" maxValue="1153.75"/>
    </cacheField>
    <cacheField name="Discount" numFmtId="0">
      <sharedItems containsSemiMixedTypes="0" containsString="0" containsNumber="1" minValue="0" maxValue="0.1"/>
    </cacheField>
    <cacheField name="Revenue" numFmtId="0">
      <sharedItems containsSemiMixedTypes="0" containsString="0" containsNumber="1" minValue="34.03" maxValue="16141.35"/>
    </cacheField>
    <cacheField name="Cost" numFmtId="0">
      <sharedItems containsSemiMixedTypes="0" containsString="0" containsNumber="1" minValue="26.12" maxValue="12771.88"/>
    </cacheField>
    <cacheField name="Target" numFmtId="0">
      <sharedItems containsSemiMixedTypes="0" containsString="0" containsNumber="1" minValue="37.93" maxValue="17384.8"/>
    </cacheField>
    <cacheField name="Standard_Price" numFmtId="0">
      <sharedItems containsSemiMixedTypes="0" containsString="0" containsNumber="1" containsInteger="1" minValue="35" maxValue="1100"/>
    </cacheField>
    <cacheField name="Profit" numFmtId="0">
      <sharedItems containsSemiMixedTypes="0" containsString="0" containsNumber="1" minValue="7.91" maxValue="5562.5099999999984"/>
    </cacheField>
    <cacheField name="Profit_Margin" numFmtId="9">
      <sharedItems containsSemiMixedTypes="0" containsString="0" containsNumber="1" minValue="0.18085723853108604" maxValue="0.39979703247480397"/>
    </cacheField>
    <cacheField name="Target_Variance" numFmtId="0">
      <sharedItems containsSemiMixedTypes="0" containsString="0" containsNumber="1" minValue="-1401.8900000000012" maxValue="1441.9500000000007"/>
    </cacheField>
    <cacheField name="Target_Status" numFmtId="0">
      <sharedItems/>
    </cacheField>
    <cacheField name="Months (Order_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 name="Years (Order_Date)" numFmtId="0" databaseField="0">
      <fieldGroup base="1">
        <rangePr groupBy="years" startDate="2025-01-01T00:00:00" endDate="2026-01-01T00:00:00"/>
        <groupItems count="4">
          <s v="&lt;01-01-2025"/>
          <s v="2025"/>
          <s v="2026"/>
          <s v="&gt;01-01-2026"/>
        </groupItems>
      </fieldGroup>
    </cacheField>
  </cacheFields>
  <extLst>
    <ext xmlns:x14="http://schemas.microsoft.com/office/spreadsheetml/2009/9/main" uri="{725AE2AE-9491-48be-B2B4-4EB974FC3084}">
      <x14:pivotCacheDefinition pivotCacheId="9470921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1"/>
    <x v="0"/>
    <x v="0"/>
    <x v="0"/>
    <s v="Customer 028"/>
    <s v="Online"/>
    <x v="0"/>
    <s v="Business 13"/>
    <n v="7"/>
    <n v="964.34"/>
    <n v="0"/>
    <n v="6750.38"/>
    <n v="5269.89"/>
    <n v="6092.83"/>
    <n v="950"/>
    <n v="1480.4899999999998"/>
    <n v="0.21931950497601613"/>
    <n v="657.55000000000018"/>
    <s v="Above Target"/>
  </r>
  <r>
    <s v="ORD1002"/>
    <x v="1"/>
    <x v="0"/>
    <x v="1"/>
    <s v="Customer 081"/>
    <s v="Online"/>
    <x v="1"/>
    <s v="Wireless Mouse"/>
    <n v="7"/>
    <n v="33.49"/>
    <n v="0"/>
    <n v="234.43"/>
    <n v="169.08"/>
    <n v="209.62"/>
    <n v="35"/>
    <n v="65.349999999999994"/>
    <n v="0.27876125069317065"/>
    <n v="24.810000000000002"/>
    <s v="Above Target"/>
  </r>
  <r>
    <s v="ORD1003"/>
    <x v="2"/>
    <x v="1"/>
    <x v="2"/>
    <s v="Customer 019"/>
    <s v="Online"/>
    <x v="1"/>
    <s v="Webcam HD"/>
    <n v="7"/>
    <n v="71.62"/>
    <n v="0.02"/>
    <n v="491.31"/>
    <n v="299.82"/>
    <n v="533.58000000000004"/>
    <n v="75"/>
    <n v="191.49"/>
    <n v="0.38975392318495455"/>
    <n v="-42.270000000000039"/>
    <s v="Below Target"/>
  </r>
  <r>
    <s v="ORD1004"/>
    <x v="3"/>
    <x v="2"/>
    <x v="3"/>
    <s v="Customer 013"/>
    <s v="Online"/>
    <x v="2"/>
    <s v="Monitor 27"/>
    <n v="9"/>
    <n v="330.12"/>
    <n v="0.02"/>
    <n v="2911.66"/>
    <n v="1813.01"/>
    <n v="2961.42"/>
    <n v="320"/>
    <n v="1098.6499999999999"/>
    <n v="0.37732770996613613"/>
    <n v="-49.760000000000218"/>
    <s v="Below Target"/>
  </r>
  <r>
    <s v="ORD1005"/>
    <x v="4"/>
    <x v="3"/>
    <x v="0"/>
    <s v="Customer 119"/>
    <s v="Corporate"/>
    <x v="0"/>
    <s v="ProBook 14"/>
    <n v="10"/>
    <n v="825.01"/>
    <n v="0.1"/>
    <n v="7425.09"/>
    <n v="5323.63"/>
    <n v="7919.12"/>
    <n v="850"/>
    <n v="2101.46"/>
    <n v="0.28302148526145809"/>
    <n v="-494.02999999999975"/>
    <s v="Below Target"/>
  </r>
  <r>
    <s v="ORD1006"/>
    <x v="5"/>
    <x v="1"/>
    <x v="0"/>
    <s v="Customer 064"/>
    <s v="Distributor"/>
    <x v="2"/>
    <s v="Monitor 27"/>
    <n v="4"/>
    <n v="329.42"/>
    <n v="0.1"/>
    <n v="1185.9100000000001"/>
    <n v="915"/>
    <n v="1066.9000000000001"/>
    <n v="320"/>
    <n v="270.91000000000008"/>
    <n v="0.22844060679140918"/>
    <n v="119.00999999999999"/>
    <s v="Above Target"/>
  </r>
  <r>
    <s v="ORD1007"/>
    <x v="6"/>
    <x v="1"/>
    <x v="1"/>
    <s v="Customer 120"/>
    <s v="Corporate"/>
    <x v="2"/>
    <s v="Monitor 27"/>
    <n v="10"/>
    <n v="335.37"/>
    <n v="0"/>
    <n v="3353.7"/>
    <n v="2389.9299999999998"/>
    <n v="3084.03"/>
    <n v="320"/>
    <n v="963.77"/>
    <n v="0.28737513790738589"/>
    <n v="269.66999999999962"/>
    <s v="Above Target"/>
  </r>
  <r>
    <s v="ORD1008"/>
    <x v="7"/>
    <x v="1"/>
    <x v="3"/>
    <s v="Customer 089"/>
    <s v="Distributor"/>
    <x v="0"/>
    <s v="ProBook 14"/>
    <n v="11"/>
    <n v="814.1"/>
    <n v="0.08"/>
    <n v="8238.69"/>
    <n v="5981.83"/>
    <n v="8981.1200000000008"/>
    <n v="850"/>
    <n v="2256.8600000000006"/>
    <n v="0.27393432693789915"/>
    <n v="-742.43000000000029"/>
    <s v="Below Target"/>
  </r>
  <r>
    <s v="ORD1009"/>
    <x v="8"/>
    <x v="3"/>
    <x v="4"/>
    <s v="Customer 086"/>
    <s v="Online"/>
    <x v="1"/>
    <s v="Mechanical Keyboard"/>
    <n v="10"/>
    <n v="87.52"/>
    <n v="0"/>
    <n v="875.2"/>
    <n v="686.85"/>
    <n v="968.6"/>
    <n v="85"/>
    <n v="188.35000000000002"/>
    <n v="0.21520795246800734"/>
    <n v="-93.399999999999977"/>
    <s v="Below Target"/>
  </r>
  <r>
    <s v="ORD1010"/>
    <x v="9"/>
    <x v="1"/>
    <x v="4"/>
    <s v="Customer 050"/>
    <s v="Distributor"/>
    <x v="3"/>
    <s v="OfficeJet Pro"/>
    <n v="12"/>
    <n v="333.53"/>
    <n v="0.08"/>
    <n v="3682.17"/>
    <n v="3013.79"/>
    <n v="3966.66"/>
    <n v="340"/>
    <n v="668.38000000000011"/>
    <n v="0.18151796359212097"/>
    <n v="-284.48999999999978"/>
    <s v="Below Target"/>
  </r>
  <r>
    <s v="ORD1011"/>
    <x v="10"/>
    <x v="1"/>
    <x v="1"/>
    <s v="Customer 095"/>
    <s v="Retail"/>
    <x v="1"/>
    <s v="Mechanical Keyboard"/>
    <n v="6"/>
    <n v="82.18"/>
    <n v="0"/>
    <n v="493.08"/>
    <n v="349.4"/>
    <n v="459.73"/>
    <n v="85"/>
    <n v="143.68"/>
    <n v="0.29139287742354186"/>
    <n v="33.349999999999966"/>
    <s v="Above Target"/>
  </r>
  <r>
    <s v="ORD1012"/>
    <x v="11"/>
    <x v="1"/>
    <x v="1"/>
    <s v="Customer 105"/>
    <s v="Corporate"/>
    <x v="1"/>
    <s v="Wireless Mouse"/>
    <n v="15"/>
    <n v="36.299999999999997"/>
    <n v="0"/>
    <n v="544.5"/>
    <n v="346.63"/>
    <n v="531.65"/>
    <n v="35"/>
    <n v="197.87"/>
    <n v="0.36339761248852159"/>
    <n v="12.850000000000023"/>
    <s v="Above Target"/>
  </r>
  <r>
    <s v="ORD1013"/>
    <x v="12"/>
    <x v="2"/>
    <x v="1"/>
    <s v="Customer 011"/>
    <s v="Retail"/>
    <x v="2"/>
    <s v="Monitor 27"/>
    <n v="12"/>
    <n v="317.29000000000002"/>
    <n v="0.03"/>
    <n v="3693.26"/>
    <n v="2770.68"/>
    <n v="3587.29"/>
    <n v="320"/>
    <n v="922.58000000000038"/>
    <n v="0.24980098882829813"/>
    <n v="105.97000000000025"/>
    <s v="Above Target"/>
  </r>
  <r>
    <s v="ORD1014"/>
    <x v="13"/>
    <x v="1"/>
    <x v="5"/>
    <s v="Customer 019"/>
    <s v="Corporate"/>
    <x v="2"/>
    <s v="Monitor 24"/>
    <n v="11"/>
    <n v="214.13"/>
    <n v="0.05"/>
    <n v="2237.66"/>
    <n v="1751.73"/>
    <n v="2067.0700000000002"/>
    <n v="220"/>
    <n v="485.92999999999984"/>
    <n v="0.21715989024248539"/>
    <n v="170.58999999999969"/>
    <s v="Above Target"/>
  </r>
  <r>
    <s v="ORD1015"/>
    <x v="14"/>
    <x v="0"/>
    <x v="2"/>
    <s v="Customer 116"/>
    <s v="Corporate"/>
    <x v="2"/>
    <s v="Monitor 32"/>
    <n v="10"/>
    <n v="452.99"/>
    <n v="0.02"/>
    <n v="4439.3"/>
    <n v="3337.95"/>
    <n v="4455.8100000000004"/>
    <n v="450"/>
    <n v="1101.3500000000004"/>
    <n v="0.24809091523438387"/>
    <n v="-16.510000000000218"/>
    <s v="Below Target"/>
  </r>
  <r>
    <s v="ORD1016"/>
    <x v="11"/>
    <x v="2"/>
    <x v="2"/>
    <s v="Customer 021"/>
    <s v="Online"/>
    <x v="1"/>
    <s v="Wireless Mouse"/>
    <n v="7"/>
    <n v="33.61"/>
    <n v="0.1"/>
    <n v="211.74"/>
    <n v="145.69999999999999"/>
    <n v="196.02"/>
    <n v="35"/>
    <n v="66.04000000000002"/>
    <n v="0.31189194294889966"/>
    <n v="15.719999999999999"/>
    <s v="Above Target"/>
  </r>
  <r>
    <s v="ORD1017"/>
    <x v="15"/>
    <x v="1"/>
    <x v="0"/>
    <s v="Customer 004"/>
    <s v="Online"/>
    <x v="1"/>
    <s v="Webcam HD"/>
    <n v="1"/>
    <n v="72.02"/>
    <n v="0.08"/>
    <n v="66.260000000000005"/>
    <n v="41.96"/>
    <n v="59.92"/>
    <n v="75"/>
    <n v="24.300000000000004"/>
    <n v="0.3667370962873529"/>
    <n v="6.3400000000000034"/>
    <s v="Above Target"/>
  </r>
  <r>
    <s v="ORD1018"/>
    <x v="16"/>
    <x v="3"/>
    <x v="5"/>
    <s v="Customer 015"/>
    <s v="Corporate"/>
    <x v="1"/>
    <s v="Webcam HD"/>
    <n v="7"/>
    <n v="72.36"/>
    <n v="0.03"/>
    <n v="491.32"/>
    <n v="398.07"/>
    <n v="503.38"/>
    <n v="75"/>
    <n v="93.25"/>
    <n v="0.18979483839452901"/>
    <n v="-12.060000000000002"/>
    <s v="Below Target"/>
  </r>
  <r>
    <s v="ORD1019"/>
    <x v="17"/>
    <x v="1"/>
    <x v="2"/>
    <s v="Customer 107"/>
    <s v="Retail"/>
    <x v="1"/>
    <s v="Mechanical Keyboard"/>
    <n v="8"/>
    <n v="83.4"/>
    <n v="0.02"/>
    <n v="653.86"/>
    <n v="407.02"/>
    <n v="629.16999999999996"/>
    <n v="85"/>
    <n v="246.84000000000003"/>
    <n v="0.37751200562811615"/>
    <n v="24.690000000000055"/>
    <s v="Above Target"/>
  </r>
  <r>
    <s v="ORD1020"/>
    <x v="18"/>
    <x v="0"/>
    <x v="0"/>
    <s v="Customer 039"/>
    <s v="Online"/>
    <x v="0"/>
    <s v="ProBook 14"/>
    <n v="4"/>
    <n v="888.33"/>
    <n v="0.08"/>
    <n v="3269.05"/>
    <n v="2221.6"/>
    <n v="3418.17"/>
    <n v="850"/>
    <n v="1047.4500000000003"/>
    <n v="0.32041418760802076"/>
    <n v="-149.11999999999989"/>
    <s v="Below Target"/>
  </r>
  <r>
    <s v="ORD1021"/>
    <x v="19"/>
    <x v="1"/>
    <x v="4"/>
    <s v="Customer 029"/>
    <s v="Retail"/>
    <x v="2"/>
    <s v="Monitor 27"/>
    <n v="9"/>
    <n v="315.73"/>
    <n v="0.02"/>
    <n v="2784.74"/>
    <n v="1888.76"/>
    <n v="2599.4699999999998"/>
    <n v="320"/>
    <n v="895.97999999999979"/>
    <n v="0.32174637488598573"/>
    <n v="185.26999999999998"/>
    <s v="Above Target"/>
  </r>
  <r>
    <s v="ORD1022"/>
    <x v="20"/>
    <x v="0"/>
    <x v="5"/>
    <s v="Customer 102"/>
    <s v="Distributor"/>
    <x v="1"/>
    <s v="Wireless Mouse"/>
    <n v="12"/>
    <n v="36.06"/>
    <n v="0.02"/>
    <n v="424.07"/>
    <n v="302.74"/>
    <n v="409.37"/>
    <n v="35"/>
    <n v="121.32999999999998"/>
    <n v="0.28610842549579074"/>
    <n v="14.699999999999989"/>
    <s v="Above Target"/>
  </r>
  <r>
    <s v="ORD1023"/>
    <x v="21"/>
    <x v="1"/>
    <x v="3"/>
    <s v="Customer 011"/>
    <s v="Retail"/>
    <x v="2"/>
    <s v="Monitor 27"/>
    <n v="4"/>
    <n v="326.16000000000003"/>
    <n v="0.03"/>
    <n v="1265.5"/>
    <n v="883.81"/>
    <n v="1398.23"/>
    <n v="320"/>
    <n v="381.69000000000005"/>
    <n v="0.30161201106282104"/>
    <n v="-132.73000000000002"/>
    <s v="Below Target"/>
  </r>
  <r>
    <s v="ORD1024"/>
    <x v="22"/>
    <x v="0"/>
    <x v="2"/>
    <s v="Customer 117"/>
    <s v="Distributor"/>
    <x v="2"/>
    <s v="Monitor 24"/>
    <n v="8"/>
    <n v="213.33"/>
    <n v="0.02"/>
    <n v="1672.51"/>
    <n v="1181.0999999999999"/>
    <n v="1867.29"/>
    <n v="220"/>
    <n v="491.41000000000008"/>
    <n v="0.29381588151939309"/>
    <n v="-194.77999999999997"/>
    <s v="Below Target"/>
  </r>
  <r>
    <s v="ORD1025"/>
    <x v="23"/>
    <x v="3"/>
    <x v="1"/>
    <s v="Customer 056"/>
    <s v="Distributor"/>
    <x v="0"/>
    <s v="UltraBook 15"/>
    <n v="14"/>
    <n v="1117.6600000000001"/>
    <n v="0.05"/>
    <n v="14864.88"/>
    <n v="11477.27"/>
    <n v="15757.27"/>
    <n v="1100"/>
    <n v="3387.6099999999988"/>
    <n v="0.22789353159931322"/>
    <n v="-892.39000000000124"/>
    <s v="Below Target"/>
  </r>
  <r>
    <s v="ORD1026"/>
    <x v="1"/>
    <x v="2"/>
    <x v="1"/>
    <s v="Customer 017"/>
    <s v="Online"/>
    <x v="3"/>
    <s v="ColorJet X"/>
    <n v="12"/>
    <n v="415.63"/>
    <n v="0.05"/>
    <n v="4738.18"/>
    <n v="3617.78"/>
    <n v="4266.17"/>
    <n v="420"/>
    <n v="1120.4000000000001"/>
    <n v="0.23646210148200364"/>
    <n v="472.01000000000022"/>
    <s v="Above Target"/>
  </r>
  <r>
    <s v="ORD1027"/>
    <x v="13"/>
    <x v="3"/>
    <x v="4"/>
    <s v="Customer 120"/>
    <s v="Distributor"/>
    <x v="1"/>
    <s v="Webcam HD"/>
    <n v="15"/>
    <n v="74.739999999999995"/>
    <n v="0.1"/>
    <n v="1008.99"/>
    <n v="637.84"/>
    <n v="1088.06"/>
    <n v="75"/>
    <n v="371.15"/>
    <n v="0.3678430906153678"/>
    <n v="-79.069999999999936"/>
    <s v="Below Target"/>
  </r>
  <r>
    <s v="ORD1028"/>
    <x v="24"/>
    <x v="0"/>
    <x v="0"/>
    <s v="Customer 096"/>
    <s v="Retail"/>
    <x v="1"/>
    <s v="USB-C Hub"/>
    <n v="9"/>
    <n v="57.79"/>
    <n v="0"/>
    <n v="520.11"/>
    <n v="403.53"/>
    <n v="548.37"/>
    <n v="60"/>
    <n v="116.58000000000004"/>
    <n v="0.22414489242660213"/>
    <n v="-28.259999999999991"/>
    <s v="Below Target"/>
  </r>
  <r>
    <s v="ORD1029"/>
    <x v="25"/>
    <x v="2"/>
    <x v="0"/>
    <s v="Customer 042"/>
    <s v="Distributor"/>
    <x v="2"/>
    <s v="Monitor 24"/>
    <n v="14"/>
    <n v="228.23"/>
    <n v="0"/>
    <n v="3195.22"/>
    <n v="2094.16"/>
    <n v="3036.46"/>
    <n v="220"/>
    <n v="1101.06"/>
    <n v="0.34459599026045157"/>
    <n v="158.75999999999976"/>
    <s v="Above Target"/>
  </r>
  <r>
    <s v="ORD1030"/>
    <x v="26"/>
    <x v="3"/>
    <x v="0"/>
    <s v="Customer 017"/>
    <s v="Retail"/>
    <x v="1"/>
    <s v="Wireless Mouse"/>
    <n v="14"/>
    <n v="33.71"/>
    <n v="0.1"/>
    <n v="424.75"/>
    <n v="287.91000000000003"/>
    <n v="420.48"/>
    <n v="35"/>
    <n v="136.83999999999997"/>
    <n v="0.32216597998822832"/>
    <n v="4.2699999999999818"/>
    <s v="Above Target"/>
  </r>
  <r>
    <s v="ORD1031"/>
    <x v="27"/>
    <x v="2"/>
    <x v="1"/>
    <s v="Customer 019"/>
    <s v="Corporate"/>
    <x v="1"/>
    <s v="USB-C Hub"/>
    <n v="1"/>
    <n v="62.24"/>
    <n v="0.02"/>
    <n v="61"/>
    <n v="44.77"/>
    <n v="65.040000000000006"/>
    <n v="60"/>
    <n v="16.229999999999997"/>
    <n v="0.26606557377049173"/>
    <n v="-4.0400000000000063"/>
    <s v="Below Target"/>
  </r>
  <r>
    <s v="ORD1032"/>
    <x v="28"/>
    <x v="3"/>
    <x v="5"/>
    <s v="Customer 114"/>
    <s v="Online"/>
    <x v="3"/>
    <s v="OfficeJet Pro"/>
    <n v="2"/>
    <n v="341.92"/>
    <n v="0.03"/>
    <n v="663.32"/>
    <n v="497.56"/>
    <n v="668.21"/>
    <n v="340"/>
    <n v="165.76000000000005"/>
    <n v="0.2498944702406079"/>
    <n v="-4.8899999999999864"/>
    <s v="Below Target"/>
  </r>
  <r>
    <s v="ORD1033"/>
    <x v="29"/>
    <x v="0"/>
    <x v="2"/>
    <s v="Customer 042"/>
    <s v="Retail"/>
    <x v="2"/>
    <s v="Monitor 24"/>
    <n v="5"/>
    <n v="209.93"/>
    <n v="0"/>
    <n v="1049.6500000000001"/>
    <n v="747.03"/>
    <n v="1065.2"/>
    <n v="220"/>
    <n v="302.62000000000012"/>
    <n v="0.28830562568475215"/>
    <n v="-15.549999999999955"/>
    <s v="Below Target"/>
  </r>
  <r>
    <s v="ORD1034"/>
    <x v="30"/>
    <x v="1"/>
    <x v="0"/>
    <s v="Customer 115"/>
    <s v="Retail"/>
    <x v="2"/>
    <s v="Monitor 27"/>
    <n v="8"/>
    <n v="320.26"/>
    <n v="0.05"/>
    <n v="2433.98"/>
    <n v="1732.28"/>
    <n v="2286.5700000000002"/>
    <n v="320"/>
    <n v="701.7"/>
    <n v="0.28829324809571155"/>
    <n v="147.40999999999985"/>
    <s v="Above Target"/>
  </r>
  <r>
    <s v="ORD1035"/>
    <x v="6"/>
    <x v="3"/>
    <x v="5"/>
    <s v="Customer 028"/>
    <s v="Distributor"/>
    <x v="0"/>
    <s v="Business 13"/>
    <n v="7"/>
    <n v="914.05"/>
    <n v="0.05"/>
    <n v="6078.43"/>
    <n v="4069.6"/>
    <n v="6328.12"/>
    <n v="950"/>
    <n v="2008.8300000000004"/>
    <n v="0.33048501010951847"/>
    <n v="-249.6899999999996"/>
    <s v="Below Target"/>
  </r>
  <r>
    <s v="ORD1036"/>
    <x v="31"/>
    <x v="2"/>
    <x v="2"/>
    <s v="Customer 029"/>
    <s v="Online"/>
    <x v="3"/>
    <s v="ColorJet X"/>
    <n v="3"/>
    <n v="438.46"/>
    <n v="0.1"/>
    <n v="1183.8399999999999"/>
    <n v="882.26"/>
    <n v="1082.4000000000001"/>
    <n v="420"/>
    <n v="301.57999999999993"/>
    <n v="0.25474726314366802"/>
    <n v="101.43999999999983"/>
    <s v="Above Target"/>
  </r>
  <r>
    <s v="ORD1037"/>
    <x v="11"/>
    <x v="3"/>
    <x v="3"/>
    <s v="Customer 054"/>
    <s v="Retail"/>
    <x v="1"/>
    <s v="Mechanical Keyboard"/>
    <n v="3"/>
    <n v="89.16"/>
    <n v="0.02"/>
    <n v="262.13"/>
    <n v="166.59"/>
    <n v="257.82"/>
    <n v="85"/>
    <n v="95.539999999999992"/>
    <n v="0.3644756418570938"/>
    <n v="4.3100000000000023"/>
    <s v="Above Target"/>
  </r>
  <r>
    <s v="ORD1038"/>
    <x v="32"/>
    <x v="0"/>
    <x v="2"/>
    <s v="Customer 043"/>
    <s v="Distributor"/>
    <x v="2"/>
    <s v="Monitor 32"/>
    <n v="2"/>
    <n v="460"/>
    <n v="0"/>
    <n v="920"/>
    <n v="620.41"/>
    <n v="910.87"/>
    <n v="450"/>
    <n v="299.59000000000003"/>
    <n v="0.32564130434782612"/>
    <n v="9.1299999999999955"/>
    <s v="Above Target"/>
  </r>
  <r>
    <s v="ORD1039"/>
    <x v="33"/>
    <x v="1"/>
    <x v="3"/>
    <s v="Customer 006"/>
    <s v="Retail"/>
    <x v="0"/>
    <s v="UltraBook 15"/>
    <n v="2"/>
    <n v="1153.3599999999999"/>
    <n v="0.02"/>
    <n v="2260.59"/>
    <n v="1839.61"/>
    <n v="2046.17"/>
    <n v="1100"/>
    <n v="420.98000000000025"/>
    <n v="0.18622571983420266"/>
    <n v="214.42000000000007"/>
    <s v="Above Target"/>
  </r>
  <r>
    <s v="ORD1040"/>
    <x v="34"/>
    <x v="2"/>
    <x v="0"/>
    <s v="Customer 118"/>
    <s v="Corporate"/>
    <x v="3"/>
    <s v="ColorJet X"/>
    <n v="3"/>
    <n v="433.43"/>
    <n v="0.1"/>
    <n v="1170.26"/>
    <n v="913.01"/>
    <n v="1102.46"/>
    <n v="420"/>
    <n v="257.25"/>
    <n v="0.21982294532838856"/>
    <n v="67.799999999999955"/>
    <s v="Above Target"/>
  </r>
  <r>
    <s v="ORD1041"/>
    <x v="35"/>
    <x v="1"/>
    <x v="5"/>
    <s v="Customer 082"/>
    <s v="Online"/>
    <x v="2"/>
    <s v="Monitor 32"/>
    <n v="2"/>
    <n v="440.06"/>
    <n v="0.1"/>
    <n v="792.11"/>
    <n v="507.22"/>
    <n v="867.26"/>
    <n v="450"/>
    <n v="284.89"/>
    <n v="0.35965964323136934"/>
    <n v="-75.149999999999977"/>
    <s v="Below Target"/>
  </r>
  <r>
    <s v="ORD1042"/>
    <x v="36"/>
    <x v="0"/>
    <x v="3"/>
    <s v="Customer 071"/>
    <s v="Corporate"/>
    <x v="0"/>
    <s v="UltraBook 15"/>
    <n v="10"/>
    <n v="1139.19"/>
    <n v="0"/>
    <n v="11391.9"/>
    <n v="7497.91"/>
    <n v="10357.549999999999"/>
    <n v="1100"/>
    <n v="3893.99"/>
    <n v="0.34182094295069304"/>
    <n v="1034.3500000000004"/>
    <s v="Above Target"/>
  </r>
  <r>
    <s v="ORD1043"/>
    <x v="37"/>
    <x v="2"/>
    <x v="3"/>
    <s v="Customer 007"/>
    <s v="Retail"/>
    <x v="1"/>
    <s v="Webcam HD"/>
    <n v="3"/>
    <n v="71.569999999999993"/>
    <n v="0.1"/>
    <n v="193.24"/>
    <n v="126.08"/>
    <n v="175.13"/>
    <n v="75"/>
    <n v="67.160000000000011"/>
    <n v="0.34754709169944115"/>
    <n v="18.110000000000014"/>
    <s v="Above Target"/>
  </r>
  <r>
    <s v="ORD1044"/>
    <x v="38"/>
    <x v="2"/>
    <x v="3"/>
    <s v="Customer 045"/>
    <s v="Online"/>
    <x v="2"/>
    <s v="Monitor 27"/>
    <n v="11"/>
    <n v="313.76"/>
    <n v="0.02"/>
    <n v="3382.33"/>
    <n v="2245.16"/>
    <n v="3382.4"/>
    <n v="320"/>
    <n v="1137.17"/>
    <n v="0.33620906298320985"/>
    <n v="-7.0000000000163709E-2"/>
    <s v="Below Target"/>
  </r>
  <r>
    <s v="ORD1045"/>
    <x v="39"/>
    <x v="3"/>
    <x v="1"/>
    <s v="Customer 120"/>
    <s v="Corporate"/>
    <x v="0"/>
    <s v="ProBook 14"/>
    <n v="1"/>
    <n v="809.07"/>
    <n v="0.08"/>
    <n v="744.34"/>
    <n v="536.84"/>
    <n v="688.86"/>
    <n v="850"/>
    <n v="207.5"/>
    <n v="0.27877045436225378"/>
    <n v="55.480000000000018"/>
    <s v="Above Target"/>
  </r>
  <r>
    <s v="ORD1046"/>
    <x v="40"/>
    <x v="3"/>
    <x v="0"/>
    <s v="Customer 040"/>
    <s v="Retail"/>
    <x v="3"/>
    <s v="LaserJet M200"/>
    <n v="14"/>
    <n v="263.89999999999998"/>
    <n v="0.1"/>
    <n v="3325.14"/>
    <n v="2357.19"/>
    <n v="3592.17"/>
    <n v="260"/>
    <n v="967.94999999999982"/>
    <n v="0.29110052509067286"/>
    <n v="-267.0300000000002"/>
    <s v="Below Target"/>
  </r>
  <r>
    <s v="ORD1047"/>
    <x v="41"/>
    <x v="1"/>
    <x v="5"/>
    <s v="Customer 108"/>
    <s v="Retail"/>
    <x v="2"/>
    <s v="Monitor 32"/>
    <n v="4"/>
    <n v="464.95"/>
    <n v="0.1"/>
    <n v="1673.82"/>
    <n v="1272.68"/>
    <n v="1529.09"/>
    <n v="450"/>
    <n v="401.13999999999987"/>
    <n v="0.23965539902737445"/>
    <n v="144.73000000000002"/>
    <s v="Above Target"/>
  </r>
  <r>
    <s v="ORD1048"/>
    <x v="42"/>
    <x v="3"/>
    <x v="0"/>
    <s v="Customer 086"/>
    <s v="Distributor"/>
    <x v="0"/>
    <s v="UltraBook 15"/>
    <n v="11"/>
    <n v="1126.5"/>
    <n v="0.03"/>
    <n v="12019.75"/>
    <n v="8350.8799999999992"/>
    <n v="10737.2"/>
    <n v="1100"/>
    <n v="3668.8700000000008"/>
    <n v="0.30523679777033641"/>
    <n v="1282.5499999999993"/>
    <s v="Above Target"/>
  </r>
  <r>
    <s v="ORD1049"/>
    <x v="43"/>
    <x v="0"/>
    <x v="3"/>
    <s v="Customer 047"/>
    <s v="Distributor"/>
    <x v="2"/>
    <s v="Monitor 24"/>
    <n v="12"/>
    <n v="215.45"/>
    <n v="0.05"/>
    <n v="2456.13"/>
    <n v="1573.83"/>
    <n v="2319.98"/>
    <n v="220"/>
    <n v="882.30000000000018"/>
    <n v="0.35922365672826773"/>
    <n v="136.15000000000009"/>
    <s v="Above Target"/>
  </r>
  <r>
    <s v="ORD1050"/>
    <x v="44"/>
    <x v="1"/>
    <x v="2"/>
    <s v="Customer 011"/>
    <s v="Corporate"/>
    <x v="2"/>
    <s v="Monitor 32"/>
    <n v="4"/>
    <n v="429.05"/>
    <n v="0.03"/>
    <n v="1664.71"/>
    <n v="1078.6199999999999"/>
    <n v="1538.04"/>
    <n v="450"/>
    <n v="586.09000000000015"/>
    <n v="0.35206732704194732"/>
    <n v="126.67000000000007"/>
    <s v="Above Target"/>
  </r>
  <r>
    <s v="ORD1051"/>
    <x v="45"/>
    <x v="0"/>
    <x v="1"/>
    <s v="Customer 052"/>
    <s v="Online"/>
    <x v="1"/>
    <s v="USB-C Hub"/>
    <n v="11"/>
    <n v="58.21"/>
    <n v="0.08"/>
    <n v="589.09"/>
    <n v="454.05"/>
    <n v="531.24"/>
    <n v="60"/>
    <n v="135.04000000000002"/>
    <n v="0.22923492165882975"/>
    <n v="57.850000000000023"/>
    <s v="Above Target"/>
  </r>
  <r>
    <s v="ORD1052"/>
    <x v="46"/>
    <x v="2"/>
    <x v="4"/>
    <s v="Customer 115"/>
    <s v="Corporate"/>
    <x v="0"/>
    <s v="ProBook 14"/>
    <n v="5"/>
    <n v="833.36"/>
    <n v="0.02"/>
    <n v="4083.46"/>
    <n v="2525.9699999999998"/>
    <n v="4531.96"/>
    <n v="850"/>
    <n v="1557.4900000000002"/>
    <n v="0.38141429082199907"/>
    <n v="-448.5"/>
    <s v="Below Target"/>
  </r>
  <r>
    <s v="ORD1053"/>
    <x v="47"/>
    <x v="3"/>
    <x v="4"/>
    <s v="Customer 090"/>
    <s v="Retail"/>
    <x v="3"/>
    <s v="OfficeJet Pro"/>
    <n v="8"/>
    <n v="328.08"/>
    <n v="0.1"/>
    <n v="2362.1799999999998"/>
    <n v="1738.84"/>
    <n v="2160.7800000000002"/>
    <n v="340"/>
    <n v="623.33999999999992"/>
    <n v="0.26388336197918871"/>
    <n v="201.39999999999964"/>
    <s v="Above Target"/>
  </r>
  <r>
    <s v="ORD1054"/>
    <x v="27"/>
    <x v="2"/>
    <x v="5"/>
    <s v="Customer 004"/>
    <s v="Online"/>
    <x v="3"/>
    <s v="ColorJet X"/>
    <n v="9"/>
    <n v="422.88"/>
    <n v="0"/>
    <n v="3805.92"/>
    <n v="2975.51"/>
    <n v="3882.7"/>
    <n v="420"/>
    <n v="830.40999999999985"/>
    <n v="0.21818903182410557"/>
    <n v="-76.779999999999745"/>
    <s v="Below Target"/>
  </r>
  <r>
    <s v="ORD1055"/>
    <x v="48"/>
    <x v="0"/>
    <x v="4"/>
    <s v="Customer 069"/>
    <s v="Retail"/>
    <x v="3"/>
    <s v="LaserJet M200"/>
    <n v="6"/>
    <n v="271.95"/>
    <n v="0.05"/>
    <n v="1550.11"/>
    <n v="1215.0999999999999"/>
    <n v="1571.88"/>
    <n v="260"/>
    <n v="335.01"/>
    <n v="0.2161201463121972"/>
    <n v="-21.770000000000209"/>
    <s v="Below Target"/>
  </r>
  <r>
    <s v="ORD1056"/>
    <x v="49"/>
    <x v="0"/>
    <x v="4"/>
    <s v="Customer 068"/>
    <s v="Online"/>
    <x v="2"/>
    <s v="Monitor 27"/>
    <n v="1"/>
    <n v="318.62"/>
    <n v="0"/>
    <n v="318.62"/>
    <n v="243.62"/>
    <n v="318.85000000000002"/>
    <n v="320"/>
    <n v="75"/>
    <n v="0.2353901198920344"/>
    <n v="-0.23000000000001819"/>
    <s v="Below Target"/>
  </r>
  <r>
    <s v="ORD1057"/>
    <x v="50"/>
    <x v="2"/>
    <x v="4"/>
    <s v="Customer 084"/>
    <s v="Corporate"/>
    <x v="2"/>
    <s v="Monitor 27"/>
    <n v="13"/>
    <n v="306.38"/>
    <n v="0.03"/>
    <n v="3863.45"/>
    <n v="2517.63"/>
    <n v="4101.2299999999996"/>
    <n v="320"/>
    <n v="1345.8199999999997"/>
    <n v="0.34834668495774496"/>
    <n v="-237.77999999999975"/>
    <s v="Below Target"/>
  </r>
  <r>
    <s v="ORD1058"/>
    <x v="51"/>
    <x v="2"/>
    <x v="5"/>
    <s v="Customer 077"/>
    <s v="Retail"/>
    <x v="1"/>
    <s v="Wireless Mouse"/>
    <n v="2"/>
    <n v="34.93"/>
    <n v="0.1"/>
    <n v="62.87"/>
    <n v="41.7"/>
    <n v="56.03"/>
    <n v="35"/>
    <n v="21.169999999999995"/>
    <n v="0.33672657865436606"/>
    <n v="6.8399999999999963"/>
    <s v="Above Target"/>
  </r>
  <r>
    <s v="ORD1059"/>
    <x v="52"/>
    <x v="3"/>
    <x v="5"/>
    <s v="Customer 063"/>
    <s v="Distributor"/>
    <x v="2"/>
    <s v="Monitor 27"/>
    <n v="11"/>
    <n v="327.78"/>
    <n v="0.03"/>
    <n v="3497.41"/>
    <n v="2576.38"/>
    <n v="3189.73"/>
    <n v="320"/>
    <n v="921.02999999999975"/>
    <n v="0.26334630483700788"/>
    <n v="307.67999999999984"/>
    <s v="Above Target"/>
  </r>
  <r>
    <s v="ORD1060"/>
    <x v="53"/>
    <x v="3"/>
    <x v="2"/>
    <s v="Customer 060"/>
    <s v="Online"/>
    <x v="0"/>
    <s v="UltraBook 15"/>
    <n v="12"/>
    <n v="1068.95"/>
    <n v="0.05"/>
    <n v="12186.03"/>
    <n v="8091.38"/>
    <n v="12234.39"/>
    <n v="1100"/>
    <n v="4094.6500000000005"/>
    <n v="0.33601181024501009"/>
    <n v="-48.359999999998763"/>
    <s v="Below Target"/>
  </r>
  <r>
    <s v="ORD1061"/>
    <x v="12"/>
    <x v="3"/>
    <x v="3"/>
    <s v="Customer 050"/>
    <s v="Retail"/>
    <x v="2"/>
    <s v="Monitor 24"/>
    <n v="5"/>
    <n v="230.52"/>
    <n v="0.05"/>
    <n v="1094.97"/>
    <n v="661.2"/>
    <n v="1084.19"/>
    <n v="220"/>
    <n v="433.77"/>
    <n v="0.39614783966684014"/>
    <n v="10.779999999999973"/>
    <s v="Above Target"/>
  </r>
  <r>
    <s v="ORD1062"/>
    <x v="54"/>
    <x v="2"/>
    <x v="0"/>
    <s v="Customer 105"/>
    <s v="Distributor"/>
    <x v="0"/>
    <s v="UltraBook 15"/>
    <n v="10"/>
    <n v="1054.93"/>
    <n v="0.1"/>
    <n v="9494.3700000000008"/>
    <n v="6791.27"/>
    <n v="10526.01"/>
    <n v="1100"/>
    <n v="2703.1000000000004"/>
    <n v="0.28470556761533417"/>
    <n v="-1031.6399999999994"/>
    <s v="Below Target"/>
  </r>
  <r>
    <s v="ORD1063"/>
    <x v="55"/>
    <x v="3"/>
    <x v="4"/>
    <s v="Customer 058"/>
    <s v="Corporate"/>
    <x v="3"/>
    <s v="OfficeJet Pro"/>
    <n v="6"/>
    <n v="330.87"/>
    <n v="0.05"/>
    <n v="1885.96"/>
    <n v="1295.08"/>
    <n v="1731.64"/>
    <n v="340"/>
    <n v="590.88000000000011"/>
    <n v="0.31330463000275727"/>
    <n v="154.31999999999994"/>
    <s v="Above Target"/>
  </r>
  <r>
    <s v="ORD1064"/>
    <x v="56"/>
    <x v="0"/>
    <x v="3"/>
    <s v="Customer 097"/>
    <s v="Distributor"/>
    <x v="3"/>
    <s v="OfficeJet Pro"/>
    <n v="3"/>
    <n v="337.15"/>
    <n v="0.05"/>
    <n v="960.88"/>
    <n v="643.34"/>
    <n v="1039.3399999999999"/>
    <n v="340"/>
    <n v="317.53999999999996"/>
    <n v="0.33046790442094742"/>
    <n v="-78.459999999999923"/>
    <s v="Below Target"/>
  </r>
  <r>
    <s v="ORD1065"/>
    <x v="11"/>
    <x v="1"/>
    <x v="5"/>
    <s v="Customer 051"/>
    <s v="Corporate"/>
    <x v="0"/>
    <s v="UltraBook 15"/>
    <n v="15"/>
    <n v="1066.53"/>
    <n v="0"/>
    <n v="15997.95"/>
    <n v="12771.88"/>
    <n v="15191.01"/>
    <n v="1100"/>
    <n v="3226.0700000000015"/>
    <n v="0.20165521207404707"/>
    <n v="806.94000000000051"/>
    <s v="Above Target"/>
  </r>
  <r>
    <s v="ORD1066"/>
    <x v="57"/>
    <x v="0"/>
    <x v="4"/>
    <s v="Customer 037"/>
    <s v="Retail"/>
    <x v="0"/>
    <s v="UltraBook 15"/>
    <n v="6"/>
    <n v="1146.8"/>
    <n v="0.03"/>
    <n v="6674.38"/>
    <n v="5258.99"/>
    <n v="6322.99"/>
    <n v="1100"/>
    <n v="1415.3900000000003"/>
    <n v="0.21206314294361428"/>
    <n v="351.39000000000033"/>
    <s v="Above Target"/>
  </r>
  <r>
    <s v="ORD1067"/>
    <x v="29"/>
    <x v="3"/>
    <x v="5"/>
    <s v="Customer 104"/>
    <s v="Corporate"/>
    <x v="2"/>
    <s v="Monitor 27"/>
    <n v="7"/>
    <n v="320.35000000000002"/>
    <n v="0.02"/>
    <n v="2197.6"/>
    <n v="1692.37"/>
    <n v="2347.9899999999998"/>
    <n v="320"/>
    <n v="505.23"/>
    <n v="0.22990080087368039"/>
    <n v="-150.38999999999987"/>
    <s v="Below Target"/>
  </r>
  <r>
    <s v="ORD1068"/>
    <x v="58"/>
    <x v="2"/>
    <x v="4"/>
    <s v="Customer 112"/>
    <s v="Distributor"/>
    <x v="1"/>
    <s v="USB-C Hub"/>
    <n v="4"/>
    <n v="61.32"/>
    <n v="0"/>
    <n v="245.28"/>
    <n v="197.54"/>
    <n v="240.03"/>
    <n v="60"/>
    <n v="47.740000000000009"/>
    <n v="0.19463470319634707"/>
    <n v="5.25"/>
    <s v="Above Target"/>
  </r>
  <r>
    <s v="ORD1069"/>
    <x v="59"/>
    <x v="1"/>
    <x v="3"/>
    <s v="Customer 033"/>
    <s v="Distributor"/>
    <x v="0"/>
    <s v="ProBook 14"/>
    <n v="15"/>
    <n v="886.28"/>
    <n v="0.02"/>
    <n v="13028.32"/>
    <n v="8306.44"/>
    <n v="12762.13"/>
    <n v="850"/>
    <n v="4721.8799999999992"/>
    <n v="0.36243199430164436"/>
    <n v="266.19000000000051"/>
    <s v="Above Target"/>
  </r>
  <r>
    <s v="ORD1070"/>
    <x v="60"/>
    <x v="2"/>
    <x v="5"/>
    <s v="Customer 027"/>
    <s v="Corporate"/>
    <x v="3"/>
    <s v="LaserJet M200"/>
    <n v="4"/>
    <n v="254.82"/>
    <n v="0.08"/>
    <n v="937.74"/>
    <n v="700.63"/>
    <n v="852.16"/>
    <n v="260"/>
    <n v="237.11"/>
    <n v="0.25285260306694823"/>
    <n v="85.580000000000041"/>
    <s v="Above Target"/>
  </r>
  <r>
    <s v="ORD1071"/>
    <x v="12"/>
    <x v="2"/>
    <x v="5"/>
    <s v="Customer 023"/>
    <s v="Distributor"/>
    <x v="2"/>
    <s v="Monitor 24"/>
    <n v="8"/>
    <n v="228.94"/>
    <n v="0.05"/>
    <n v="1739.94"/>
    <n v="1207.58"/>
    <n v="1759.89"/>
    <n v="220"/>
    <n v="532.36000000000013"/>
    <n v="0.30596457349104"/>
    <n v="-19.950000000000045"/>
    <s v="Below Target"/>
  </r>
  <r>
    <s v="ORD1072"/>
    <x v="61"/>
    <x v="0"/>
    <x v="4"/>
    <s v="Customer 112"/>
    <s v="Corporate"/>
    <x v="0"/>
    <s v="UltraBook 15"/>
    <n v="6"/>
    <n v="1071.3"/>
    <n v="0.03"/>
    <n v="6234.97"/>
    <n v="4851.17"/>
    <n v="5789.26"/>
    <n v="1100"/>
    <n v="1383.8000000000002"/>
    <n v="0.22194172546138957"/>
    <n v="445.71000000000004"/>
    <s v="Above Target"/>
  </r>
  <r>
    <s v="ORD1073"/>
    <x v="62"/>
    <x v="3"/>
    <x v="3"/>
    <s v="Customer 074"/>
    <s v="Distributor"/>
    <x v="1"/>
    <s v="Wireless Mouse"/>
    <n v="12"/>
    <n v="35.08"/>
    <n v="0.05"/>
    <n v="399.91"/>
    <n v="263.72000000000003"/>
    <n v="424.11"/>
    <n v="35"/>
    <n v="136.19"/>
    <n v="0.34055162411542594"/>
    <n v="-24.199999999999989"/>
    <s v="Below Target"/>
  </r>
  <r>
    <s v="ORD1074"/>
    <x v="63"/>
    <x v="3"/>
    <x v="2"/>
    <s v="Customer 083"/>
    <s v="Corporate"/>
    <x v="3"/>
    <s v="LaserJet M200"/>
    <n v="9"/>
    <n v="260.76"/>
    <n v="0.02"/>
    <n v="2299.9"/>
    <n v="1426.79"/>
    <n v="2518.92"/>
    <n v="260"/>
    <n v="873.11000000000013"/>
    <n v="0.37962954911083097"/>
    <n v="-219.01999999999998"/>
    <s v="Below Target"/>
  </r>
  <r>
    <s v="ORD1075"/>
    <x v="64"/>
    <x v="3"/>
    <x v="0"/>
    <s v="Customer 063"/>
    <s v="Online"/>
    <x v="2"/>
    <s v="Monitor 27"/>
    <n v="14"/>
    <n v="330.06"/>
    <n v="0"/>
    <n v="4620.84"/>
    <n v="2901.86"/>
    <n v="4537.8900000000003"/>
    <n v="320"/>
    <n v="1718.98"/>
    <n v="0.37200595562711541"/>
    <n v="82.949999999999818"/>
    <s v="Above Target"/>
  </r>
  <r>
    <s v="ORD1076"/>
    <x v="65"/>
    <x v="2"/>
    <x v="5"/>
    <s v="Customer 029"/>
    <s v="Retail"/>
    <x v="1"/>
    <s v="Wireless Mouse"/>
    <n v="15"/>
    <n v="36.49"/>
    <n v="0.08"/>
    <n v="503.56"/>
    <n v="396.91"/>
    <n v="560.63"/>
    <n v="35"/>
    <n v="106.64999999999998"/>
    <n v="0.21179204067042651"/>
    <n v="-57.069999999999993"/>
    <s v="Below Target"/>
  </r>
  <r>
    <s v="ORD1077"/>
    <x v="13"/>
    <x v="3"/>
    <x v="5"/>
    <s v="Customer 071"/>
    <s v="Online"/>
    <x v="1"/>
    <s v="USB-C Hub"/>
    <n v="11"/>
    <n v="57.65"/>
    <n v="0.1"/>
    <n v="570.74"/>
    <n v="430.46"/>
    <n v="618.20000000000005"/>
    <n v="60"/>
    <n v="140.28000000000003"/>
    <n v="0.24578617233766695"/>
    <n v="-47.460000000000036"/>
    <s v="Below Target"/>
  </r>
  <r>
    <s v="ORD1078"/>
    <x v="66"/>
    <x v="2"/>
    <x v="4"/>
    <s v="Customer 033"/>
    <s v="Corporate"/>
    <x v="3"/>
    <s v="ColorJet X"/>
    <n v="3"/>
    <n v="408.77"/>
    <n v="0"/>
    <n v="1226.31"/>
    <n v="909.94"/>
    <n v="1168.56"/>
    <n v="420"/>
    <n v="316.36999999999989"/>
    <n v="0.25798533812820568"/>
    <n v="57.75"/>
    <s v="Above Target"/>
  </r>
  <r>
    <s v="ORD1079"/>
    <x v="67"/>
    <x v="3"/>
    <x v="3"/>
    <s v="Customer 029"/>
    <s v="Online"/>
    <x v="3"/>
    <s v="ColorJet X"/>
    <n v="2"/>
    <n v="403.18"/>
    <n v="0.03"/>
    <n v="782.17"/>
    <n v="559.54999999999995"/>
    <n v="797.73"/>
    <n v="420"/>
    <n v="222.62"/>
    <n v="0.28461843333290721"/>
    <n v="-15.560000000000059"/>
    <s v="Below Target"/>
  </r>
  <r>
    <s v="ORD1080"/>
    <x v="68"/>
    <x v="2"/>
    <x v="2"/>
    <s v="Customer 068"/>
    <s v="Retail"/>
    <x v="1"/>
    <s v="USB-C Hub"/>
    <n v="5"/>
    <n v="62.98"/>
    <n v="0.03"/>
    <n v="305.45"/>
    <n v="247.71"/>
    <n v="316.05"/>
    <n v="60"/>
    <n v="57.739999999999981"/>
    <n v="0.18903257488950723"/>
    <n v="-10.600000000000023"/>
    <s v="Below Target"/>
  </r>
  <r>
    <s v="ORD1081"/>
    <x v="44"/>
    <x v="2"/>
    <x v="2"/>
    <s v="Customer 114"/>
    <s v="Corporate"/>
    <x v="2"/>
    <s v="Monitor 24"/>
    <n v="1"/>
    <n v="230.13"/>
    <n v="0.1"/>
    <n v="207.12"/>
    <n v="153.87"/>
    <n v="185.01"/>
    <n v="220"/>
    <n v="53.25"/>
    <n v="0.25709733487833142"/>
    <n v="22.110000000000014"/>
    <s v="Above Target"/>
  </r>
  <r>
    <s v="ORD1082"/>
    <x v="69"/>
    <x v="1"/>
    <x v="4"/>
    <s v="Customer 054"/>
    <s v="Distributor"/>
    <x v="2"/>
    <s v="Monitor 27"/>
    <n v="4"/>
    <n v="325.36"/>
    <n v="0.03"/>
    <n v="1262.4000000000001"/>
    <n v="820.42"/>
    <n v="1121.24"/>
    <n v="320"/>
    <n v="441.98000000000013"/>
    <n v="0.35011089987325739"/>
    <n v="141.16000000000008"/>
    <s v="Above Target"/>
  </r>
  <r>
    <s v="ORD1083"/>
    <x v="70"/>
    <x v="2"/>
    <x v="2"/>
    <s v="Customer 026"/>
    <s v="Distributor"/>
    <x v="1"/>
    <s v="Wireless Mouse"/>
    <n v="4"/>
    <n v="33.270000000000003"/>
    <n v="0.03"/>
    <n v="129.09"/>
    <n v="98.45"/>
    <n v="129.24"/>
    <n v="35"/>
    <n v="30.64"/>
    <n v="0.23735378418157874"/>
    <n v="-0.15000000000000568"/>
    <s v="Below Target"/>
  </r>
  <r>
    <s v="ORD1084"/>
    <x v="71"/>
    <x v="2"/>
    <x v="1"/>
    <s v="Customer 063"/>
    <s v="Corporate"/>
    <x v="2"/>
    <s v="Monitor 24"/>
    <n v="8"/>
    <n v="213.87"/>
    <n v="0.03"/>
    <n v="1659.63"/>
    <n v="1035.58"/>
    <n v="1708.86"/>
    <n v="220"/>
    <n v="624.05000000000018"/>
    <n v="0.37601754607954796"/>
    <n v="-49.229999999999791"/>
    <s v="Below Target"/>
  </r>
  <r>
    <s v="ORD1085"/>
    <x v="72"/>
    <x v="2"/>
    <x v="2"/>
    <s v="Customer 007"/>
    <s v="Online"/>
    <x v="0"/>
    <s v="ProBook 14"/>
    <n v="10"/>
    <n v="819.94"/>
    <n v="0.05"/>
    <n v="7789.43"/>
    <n v="4766.8100000000004"/>
    <n v="6898.87"/>
    <n v="850"/>
    <n v="3022.62"/>
    <n v="0.38804123023122356"/>
    <n v="890.5600000000004"/>
    <s v="Above Target"/>
  </r>
  <r>
    <s v="ORD1086"/>
    <x v="73"/>
    <x v="2"/>
    <x v="3"/>
    <s v="Customer 025"/>
    <s v="Retail"/>
    <x v="1"/>
    <s v="Wireless Mouse"/>
    <n v="8"/>
    <n v="36.39"/>
    <n v="0.03"/>
    <n v="282.39"/>
    <n v="214.96"/>
    <n v="316.11"/>
    <n v="35"/>
    <n v="67.429999999999978"/>
    <n v="0.23878324303268522"/>
    <n v="-33.720000000000027"/>
    <s v="Below Target"/>
  </r>
  <r>
    <s v="ORD1087"/>
    <x v="74"/>
    <x v="1"/>
    <x v="3"/>
    <s v="Customer 057"/>
    <s v="Retail"/>
    <x v="1"/>
    <s v="USB-C Hub"/>
    <n v="12"/>
    <n v="59.81"/>
    <n v="0.03"/>
    <n v="696.19"/>
    <n v="519.48"/>
    <n v="675.91"/>
    <n v="60"/>
    <n v="176.71000000000004"/>
    <n v="0.25382438702078458"/>
    <n v="20.280000000000086"/>
    <s v="Above Target"/>
  </r>
  <r>
    <s v="ORD1088"/>
    <x v="75"/>
    <x v="2"/>
    <x v="2"/>
    <s v="Customer 046"/>
    <s v="Distributor"/>
    <x v="0"/>
    <s v="ProBook 14"/>
    <n v="2"/>
    <n v="831.28"/>
    <n v="0.03"/>
    <n v="1612.68"/>
    <n v="1116.68"/>
    <n v="1761.76"/>
    <n v="850"/>
    <n v="496"/>
    <n v="0.3075625666592256"/>
    <n v="-149.07999999999993"/>
    <s v="Below Target"/>
  </r>
  <r>
    <s v="ORD1089"/>
    <x v="64"/>
    <x v="2"/>
    <x v="3"/>
    <s v="Customer 047"/>
    <s v="Corporate"/>
    <x v="0"/>
    <s v="UltraBook 15"/>
    <n v="1"/>
    <n v="1122.58"/>
    <n v="0.02"/>
    <n v="1100.1300000000001"/>
    <n v="750.29"/>
    <n v="1210.8900000000001"/>
    <n v="1100"/>
    <n v="349.84000000000015"/>
    <n v="0.31799878196213183"/>
    <n v="-110.75999999999999"/>
    <s v="Below Target"/>
  </r>
  <r>
    <s v="ORD1090"/>
    <x v="76"/>
    <x v="0"/>
    <x v="2"/>
    <s v="Customer 009"/>
    <s v="Online"/>
    <x v="3"/>
    <s v="LaserJet M200"/>
    <n v="7"/>
    <n v="253.45"/>
    <n v="0.1"/>
    <n v="1596.73"/>
    <n v="1227.3499999999999"/>
    <n v="1420.7"/>
    <n v="260"/>
    <n v="369.38000000000011"/>
    <n v="0.2313352915020073"/>
    <n v="176.02999999999997"/>
    <s v="Above Target"/>
  </r>
  <r>
    <s v="ORD1091"/>
    <x v="77"/>
    <x v="0"/>
    <x v="3"/>
    <s v="Customer 096"/>
    <s v="Distributor"/>
    <x v="2"/>
    <s v="Monitor 24"/>
    <n v="12"/>
    <n v="210.38"/>
    <n v="0.08"/>
    <n v="2322.6"/>
    <n v="1566.82"/>
    <n v="2195.6799999999998"/>
    <n v="220"/>
    <n v="755.78"/>
    <n v="0.32540256608972701"/>
    <n v="126.92000000000007"/>
    <s v="Above Target"/>
  </r>
  <r>
    <s v="ORD1092"/>
    <x v="78"/>
    <x v="0"/>
    <x v="5"/>
    <s v="Customer 106"/>
    <s v="Retail"/>
    <x v="2"/>
    <s v="Monitor 27"/>
    <n v="1"/>
    <n v="327.08999999999997"/>
    <n v="0.08"/>
    <n v="300.92"/>
    <n v="241.22"/>
    <n v="310.60000000000002"/>
    <n v="320"/>
    <n v="59.700000000000017"/>
    <n v="0.19839159909610532"/>
    <n v="-9.6800000000000068"/>
    <s v="Below Target"/>
  </r>
  <r>
    <s v="ORD1093"/>
    <x v="40"/>
    <x v="3"/>
    <x v="1"/>
    <s v="Customer 119"/>
    <s v="Corporate"/>
    <x v="1"/>
    <s v="Mechanical Keyboard"/>
    <n v="12"/>
    <n v="88.88"/>
    <n v="0.05"/>
    <n v="1013.23"/>
    <n v="783.99"/>
    <n v="1113.79"/>
    <n v="85"/>
    <n v="229.24"/>
    <n v="0.22624675542571776"/>
    <n v="-100.55999999999995"/>
    <s v="Below Target"/>
  </r>
  <r>
    <s v="ORD1094"/>
    <x v="79"/>
    <x v="2"/>
    <x v="3"/>
    <s v="Customer 111"/>
    <s v="Distributor"/>
    <x v="0"/>
    <s v="ProBook 14"/>
    <n v="13"/>
    <n v="886.64"/>
    <n v="0.03"/>
    <n v="11180.53"/>
    <n v="8732.06"/>
    <n v="11912.57"/>
    <n v="850"/>
    <n v="2448.4700000000012"/>
    <n v="0.2189940906200333"/>
    <n v="-732.03999999999905"/>
    <s v="Below Target"/>
  </r>
  <r>
    <s v="ORD1095"/>
    <x v="80"/>
    <x v="2"/>
    <x v="1"/>
    <s v="Customer 053"/>
    <s v="Online"/>
    <x v="2"/>
    <s v="Monitor 32"/>
    <n v="13"/>
    <n v="462.7"/>
    <n v="0"/>
    <n v="6015.1"/>
    <n v="4286.45"/>
    <n v="5858.73"/>
    <n v="450"/>
    <n v="1728.6500000000005"/>
    <n v="0.28738508087978593"/>
    <n v="156.3700000000008"/>
    <s v="Above Target"/>
  </r>
  <r>
    <s v="ORD1096"/>
    <x v="81"/>
    <x v="0"/>
    <x v="5"/>
    <s v="Customer 034"/>
    <s v="Online"/>
    <x v="0"/>
    <s v="ProBook 14"/>
    <n v="8"/>
    <n v="854.47"/>
    <n v="0.03"/>
    <n v="6630.69"/>
    <n v="4212.82"/>
    <n v="6513.81"/>
    <n v="850"/>
    <n v="2417.87"/>
    <n v="0.36464832468415809"/>
    <n v="116.8799999999992"/>
    <s v="Above Target"/>
  </r>
  <r>
    <s v="ORD1097"/>
    <x v="16"/>
    <x v="2"/>
    <x v="2"/>
    <s v="Customer 059"/>
    <s v="Retail"/>
    <x v="0"/>
    <s v="UltraBook 15"/>
    <n v="7"/>
    <n v="1099.83"/>
    <n v="0.1"/>
    <n v="6928.93"/>
    <n v="5639.22"/>
    <n v="6385.47"/>
    <n v="1100"/>
    <n v="1289.71"/>
    <n v="0.18613407842192084"/>
    <n v="543.46"/>
    <s v="Above Target"/>
  </r>
  <r>
    <s v="ORD1098"/>
    <x v="82"/>
    <x v="1"/>
    <x v="3"/>
    <s v="Customer 095"/>
    <s v="Distributor"/>
    <x v="3"/>
    <s v="ColorJet X"/>
    <n v="11"/>
    <n v="430.9"/>
    <n v="0.03"/>
    <n v="4597.7"/>
    <n v="3055.78"/>
    <n v="4671.5"/>
    <n v="420"/>
    <n v="1541.9199999999996"/>
    <n v="0.33536768384192089"/>
    <n v="-73.800000000000182"/>
    <s v="Below Target"/>
  </r>
  <r>
    <s v="ORD1099"/>
    <x v="83"/>
    <x v="2"/>
    <x v="3"/>
    <s v="Customer 009"/>
    <s v="Corporate"/>
    <x v="1"/>
    <s v="Mechanical Keyboard"/>
    <n v="4"/>
    <n v="82.33"/>
    <n v="0.02"/>
    <n v="322.73"/>
    <n v="204.52"/>
    <n v="352.49"/>
    <n v="85"/>
    <n v="118.21000000000001"/>
    <n v="0.36628141170637996"/>
    <n v="-29.759999999999991"/>
    <s v="Below Target"/>
  </r>
  <r>
    <s v="ORD1100"/>
    <x v="39"/>
    <x v="0"/>
    <x v="5"/>
    <s v="Customer 001"/>
    <s v="Corporate"/>
    <x v="2"/>
    <s v="Monitor 24"/>
    <n v="9"/>
    <n v="220.58"/>
    <n v="0.1"/>
    <n v="1786.7"/>
    <n v="1389.8"/>
    <n v="1852.45"/>
    <n v="220"/>
    <n v="396.90000000000009"/>
    <n v="0.22214137795936648"/>
    <n v="-65.75"/>
    <s v="Below Target"/>
  </r>
  <r>
    <s v="ORD1101"/>
    <x v="84"/>
    <x v="2"/>
    <x v="5"/>
    <s v="Customer 048"/>
    <s v="Retail"/>
    <x v="1"/>
    <s v="Mechanical Keyboard"/>
    <n v="15"/>
    <n v="83.93"/>
    <n v="0.03"/>
    <n v="1221.18"/>
    <n v="795.28"/>
    <n v="1089.4100000000001"/>
    <n v="85"/>
    <n v="425.90000000000009"/>
    <n v="0.34876103440934186"/>
    <n v="131.76999999999998"/>
    <s v="Above Target"/>
  </r>
  <r>
    <s v="ORD1102"/>
    <x v="6"/>
    <x v="1"/>
    <x v="1"/>
    <s v="Customer 005"/>
    <s v="Distributor"/>
    <x v="1"/>
    <s v="Webcam HD"/>
    <n v="5"/>
    <n v="77.06"/>
    <n v="0.1"/>
    <n v="346.77"/>
    <n v="280.20999999999998"/>
    <n v="313.95999999999998"/>
    <n v="75"/>
    <n v="66.56"/>
    <n v="0.19194278628485742"/>
    <n v="32.81"/>
    <s v="Above Target"/>
  </r>
  <r>
    <s v="ORD1103"/>
    <x v="15"/>
    <x v="2"/>
    <x v="5"/>
    <s v="Customer 105"/>
    <s v="Distributor"/>
    <x v="0"/>
    <s v="Business 13"/>
    <n v="1"/>
    <n v="921.88"/>
    <n v="0.03"/>
    <n v="894.22"/>
    <n v="544.04999999999995"/>
    <n v="944.06"/>
    <n v="950"/>
    <n v="350.17000000000007"/>
    <n v="0.39159267294401834"/>
    <n v="-49.839999999999918"/>
    <s v="Below Target"/>
  </r>
  <r>
    <s v="ORD1104"/>
    <x v="85"/>
    <x v="3"/>
    <x v="0"/>
    <s v="Customer 062"/>
    <s v="Online"/>
    <x v="3"/>
    <s v="LaserJet M200"/>
    <n v="6"/>
    <n v="251.81"/>
    <n v="0.03"/>
    <n v="1465.53"/>
    <n v="904.45"/>
    <n v="1300.73"/>
    <n v="260"/>
    <n v="561.07999999999993"/>
    <n v="0.38285125517730784"/>
    <n v="164.79999999999995"/>
    <s v="Above Target"/>
  </r>
  <r>
    <s v="ORD1105"/>
    <x v="86"/>
    <x v="2"/>
    <x v="2"/>
    <s v="Customer 090"/>
    <s v="Distributor"/>
    <x v="0"/>
    <s v="UltraBook 15"/>
    <n v="13"/>
    <n v="1088.48"/>
    <n v="0.08"/>
    <n v="13018.22"/>
    <n v="8253.57"/>
    <n v="13124.44"/>
    <n v="1100"/>
    <n v="4764.6499999999996"/>
    <n v="0.36599857737847413"/>
    <n v="-106.22000000000116"/>
    <s v="Below Target"/>
  </r>
  <r>
    <s v="ORD1106"/>
    <x v="85"/>
    <x v="1"/>
    <x v="2"/>
    <s v="Customer 054"/>
    <s v="Online"/>
    <x v="2"/>
    <s v="Monitor 27"/>
    <n v="11"/>
    <n v="313.83999999999997"/>
    <n v="0"/>
    <n v="3452.24"/>
    <n v="2308.58"/>
    <n v="3507.35"/>
    <n v="320"/>
    <n v="1143.6599999999999"/>
    <n v="0.33128055986837529"/>
    <n v="-55.110000000000127"/>
    <s v="Below Target"/>
  </r>
  <r>
    <s v="ORD1107"/>
    <x v="87"/>
    <x v="2"/>
    <x v="2"/>
    <s v="Customer 015"/>
    <s v="Online"/>
    <x v="3"/>
    <s v="LaserJet M200"/>
    <n v="4"/>
    <n v="257.16000000000003"/>
    <n v="0.05"/>
    <n v="977.21"/>
    <n v="630.11"/>
    <n v="861.32"/>
    <n v="260"/>
    <n v="347.1"/>
    <n v="0.3551948915790874"/>
    <n v="115.88999999999999"/>
    <s v="Above Target"/>
  </r>
  <r>
    <s v="ORD1108"/>
    <x v="60"/>
    <x v="2"/>
    <x v="4"/>
    <s v="Customer 104"/>
    <s v="Corporate"/>
    <x v="1"/>
    <s v="Webcam HD"/>
    <n v="15"/>
    <n v="73.989999999999995"/>
    <n v="0.02"/>
    <n v="1087.6500000000001"/>
    <n v="683.69"/>
    <n v="970.63"/>
    <n v="75"/>
    <n v="403.96000000000004"/>
    <n v="0.37140624281708268"/>
    <n v="117.0200000000001"/>
    <s v="Above Target"/>
  </r>
  <r>
    <s v="ORD1109"/>
    <x v="88"/>
    <x v="1"/>
    <x v="1"/>
    <s v="Customer 067"/>
    <s v="Retail"/>
    <x v="1"/>
    <s v="Webcam HD"/>
    <n v="10"/>
    <n v="78.2"/>
    <n v="0.1"/>
    <n v="703.8"/>
    <n v="500.39"/>
    <n v="643.99"/>
    <n v="75"/>
    <n v="203.40999999999997"/>
    <n v="0.28901676612674054"/>
    <n v="59.809999999999945"/>
    <s v="Above Target"/>
  </r>
  <r>
    <s v="ORD1110"/>
    <x v="89"/>
    <x v="0"/>
    <x v="2"/>
    <s v="Customer 041"/>
    <s v="Online"/>
    <x v="0"/>
    <s v="UltraBook 15"/>
    <n v="7"/>
    <n v="1098.96"/>
    <n v="0.02"/>
    <n v="7538.87"/>
    <n v="5023.57"/>
    <n v="8149.14"/>
    <n v="1100"/>
    <n v="2515.3000000000002"/>
    <n v="0.33364416683136866"/>
    <n v="-610.27000000000044"/>
    <s v="Below Target"/>
  </r>
  <r>
    <s v="ORD1111"/>
    <x v="90"/>
    <x v="2"/>
    <x v="4"/>
    <s v="Customer 101"/>
    <s v="Retail"/>
    <x v="3"/>
    <s v="LaserJet M200"/>
    <n v="7"/>
    <n v="249.24"/>
    <n v="0.1"/>
    <n v="1570.21"/>
    <n v="1156.42"/>
    <n v="1692.52"/>
    <n v="260"/>
    <n v="413.78999999999996"/>
    <n v="0.26352526095235668"/>
    <n v="-122.30999999999995"/>
    <s v="Below Target"/>
  </r>
  <r>
    <s v="ORD1112"/>
    <x v="91"/>
    <x v="3"/>
    <x v="0"/>
    <s v="Customer 021"/>
    <s v="Corporate"/>
    <x v="1"/>
    <s v="Wireless Mouse"/>
    <n v="10"/>
    <n v="36.21"/>
    <n v="0.05"/>
    <n v="344"/>
    <n v="220.25"/>
    <n v="320.73"/>
    <n v="35"/>
    <n v="123.75"/>
    <n v="0.35973837209302323"/>
    <n v="23.269999999999982"/>
    <s v="Above Target"/>
  </r>
  <r>
    <s v="ORD1113"/>
    <x v="92"/>
    <x v="0"/>
    <x v="4"/>
    <s v="Customer 108"/>
    <s v="Distributor"/>
    <x v="0"/>
    <s v="UltraBook 15"/>
    <n v="3"/>
    <n v="1072.18"/>
    <n v="0.1"/>
    <n v="2894.89"/>
    <n v="2256.4"/>
    <n v="2681.31"/>
    <n v="1100"/>
    <n v="638.48999999999978"/>
    <n v="0.22055760322499293"/>
    <n v="213.57999999999993"/>
    <s v="Above Target"/>
  </r>
  <r>
    <s v="ORD1114"/>
    <x v="93"/>
    <x v="1"/>
    <x v="0"/>
    <s v="Customer 032"/>
    <s v="Corporate"/>
    <x v="1"/>
    <s v="Wireless Mouse"/>
    <n v="10"/>
    <n v="34.85"/>
    <n v="0.1"/>
    <n v="313.64999999999998"/>
    <n v="241.88"/>
    <n v="324.87"/>
    <n v="35"/>
    <n v="71.769999999999982"/>
    <n v="0.22882193527817626"/>
    <n v="-11.220000000000027"/>
    <s v="Below Target"/>
  </r>
  <r>
    <s v="ORD1115"/>
    <x v="94"/>
    <x v="3"/>
    <x v="2"/>
    <s v="Customer 031"/>
    <s v="Corporate"/>
    <x v="3"/>
    <s v="LaserJet M200"/>
    <n v="6"/>
    <n v="258.62"/>
    <n v="0.05"/>
    <n v="1474.13"/>
    <n v="942.45"/>
    <n v="1298.48"/>
    <n v="260"/>
    <n v="531.68000000000006"/>
    <n v="0.36067375333247409"/>
    <n v="175.65000000000009"/>
    <s v="Above Target"/>
  </r>
  <r>
    <s v="ORD1116"/>
    <x v="28"/>
    <x v="0"/>
    <x v="1"/>
    <s v="Customer 046"/>
    <s v="Corporate"/>
    <x v="3"/>
    <s v="ColorJet X"/>
    <n v="14"/>
    <n v="418.25"/>
    <n v="0.02"/>
    <n v="5738.39"/>
    <n v="4466.28"/>
    <n v="5601.14"/>
    <n v="420"/>
    <n v="1272.1100000000006"/>
    <n v="0.22168413091476888"/>
    <n v="137.25"/>
    <s v="Above Target"/>
  </r>
  <r>
    <s v="ORD1117"/>
    <x v="95"/>
    <x v="2"/>
    <x v="5"/>
    <s v="Customer 119"/>
    <s v="Distributor"/>
    <x v="0"/>
    <s v="UltraBook 15"/>
    <n v="13"/>
    <n v="1093.6199999999999"/>
    <n v="0.08"/>
    <n v="13079.7"/>
    <n v="9738.64"/>
    <n v="11637.75"/>
    <n v="1100"/>
    <n v="3341.0600000000013"/>
    <n v="0.25543858039557493"/>
    <n v="1441.9500000000007"/>
    <s v="Above Target"/>
  </r>
  <r>
    <s v="ORD1118"/>
    <x v="96"/>
    <x v="0"/>
    <x v="5"/>
    <s v="Customer 079"/>
    <s v="Online"/>
    <x v="0"/>
    <s v="UltraBook 15"/>
    <n v="1"/>
    <n v="1127.73"/>
    <n v="0.05"/>
    <n v="1071.3399999999999"/>
    <n v="796.65"/>
    <n v="1144.42"/>
    <n v="1100"/>
    <n v="274.68999999999994"/>
    <n v="0.25639852894505943"/>
    <n v="-73.080000000000155"/>
    <s v="Below Target"/>
  </r>
  <r>
    <s v="ORD1119"/>
    <x v="71"/>
    <x v="2"/>
    <x v="5"/>
    <s v="Customer 107"/>
    <s v="Distributor"/>
    <x v="0"/>
    <s v="Business 13"/>
    <n v="15"/>
    <n v="949.23"/>
    <n v="0.02"/>
    <n v="13953.68"/>
    <n v="10478.51"/>
    <n v="14694.05"/>
    <n v="950"/>
    <n v="3475.17"/>
    <n v="0.24905042970743202"/>
    <n v="-740.36999999999898"/>
    <s v="Below Target"/>
  </r>
  <r>
    <s v="ORD1120"/>
    <x v="97"/>
    <x v="2"/>
    <x v="3"/>
    <s v="Customer 065"/>
    <s v="Corporate"/>
    <x v="3"/>
    <s v="ColorJet X"/>
    <n v="5"/>
    <n v="405.67"/>
    <n v="0.08"/>
    <n v="1866.08"/>
    <n v="1232.54"/>
    <n v="2007.44"/>
    <n v="420"/>
    <n v="633.54"/>
    <n v="0.339503129555003"/>
    <n v="-141.36000000000013"/>
    <s v="Below Target"/>
  </r>
  <r>
    <s v="ORD1121"/>
    <x v="16"/>
    <x v="2"/>
    <x v="2"/>
    <s v="Customer 021"/>
    <s v="Distributor"/>
    <x v="1"/>
    <s v="Webcam HD"/>
    <n v="5"/>
    <n v="75.87"/>
    <n v="0.02"/>
    <n v="371.76"/>
    <n v="249.15"/>
    <n v="330.44"/>
    <n v="75"/>
    <n v="122.60999999999999"/>
    <n v="0.32980955455132338"/>
    <n v="41.319999999999993"/>
    <s v="Above Target"/>
  </r>
  <r>
    <s v="ORD1122"/>
    <x v="98"/>
    <x v="1"/>
    <x v="2"/>
    <s v="Customer 072"/>
    <s v="Online"/>
    <x v="2"/>
    <s v="Monitor 32"/>
    <n v="15"/>
    <n v="444.46"/>
    <n v="0.03"/>
    <n v="6466.89"/>
    <n v="4043.86"/>
    <n v="6514.57"/>
    <n v="450"/>
    <n v="2423.0300000000002"/>
    <n v="0.37468242076175723"/>
    <n v="-47.679999999999382"/>
    <s v="Below Target"/>
  </r>
  <r>
    <s v="ORD1123"/>
    <x v="99"/>
    <x v="1"/>
    <x v="0"/>
    <s v="Customer 019"/>
    <s v="Distributor"/>
    <x v="1"/>
    <s v="USB-C Hub"/>
    <n v="11"/>
    <n v="62.14"/>
    <n v="0.1"/>
    <n v="615.19000000000005"/>
    <n v="477.07"/>
    <n v="580.46"/>
    <n v="60"/>
    <n v="138.12000000000006"/>
    <n v="0.22451600318600765"/>
    <n v="34.730000000000018"/>
    <s v="Above Target"/>
  </r>
  <r>
    <s v="ORD1124"/>
    <x v="52"/>
    <x v="1"/>
    <x v="0"/>
    <s v="Customer 033"/>
    <s v="Distributor"/>
    <x v="3"/>
    <s v="ColorJet X"/>
    <n v="2"/>
    <n v="417.58"/>
    <n v="0.02"/>
    <n v="818.46"/>
    <n v="601.88"/>
    <n v="908.42"/>
    <n v="420"/>
    <n v="216.58000000000004"/>
    <n v="0.26461891845661367"/>
    <n v="-89.959999999999923"/>
    <s v="Below Target"/>
  </r>
  <r>
    <s v="ORD1125"/>
    <x v="100"/>
    <x v="2"/>
    <x v="1"/>
    <s v="Customer 038"/>
    <s v="Corporate"/>
    <x v="1"/>
    <s v="Webcam HD"/>
    <n v="15"/>
    <n v="76.23"/>
    <n v="0.03"/>
    <n v="1109.1500000000001"/>
    <n v="844.36"/>
    <n v="1174.93"/>
    <n v="75"/>
    <n v="264.79000000000008"/>
    <n v="0.2387323626200244"/>
    <n v="-65.779999999999973"/>
    <s v="Below Target"/>
  </r>
  <r>
    <s v="ORD1126"/>
    <x v="101"/>
    <x v="0"/>
    <x v="5"/>
    <s v="Customer 007"/>
    <s v="Online"/>
    <x v="1"/>
    <s v="USB-C Hub"/>
    <n v="6"/>
    <n v="62.37"/>
    <n v="0.02"/>
    <n v="366.74"/>
    <n v="259.45"/>
    <n v="376.64"/>
    <n v="60"/>
    <n v="107.29000000000002"/>
    <n v="0.29255058079293239"/>
    <n v="-9.8999999999999773"/>
    <s v="Below Target"/>
  </r>
  <r>
    <s v="ORD1127"/>
    <x v="102"/>
    <x v="1"/>
    <x v="0"/>
    <s v="Customer 018"/>
    <s v="Retail"/>
    <x v="2"/>
    <s v="Monitor 32"/>
    <n v="5"/>
    <n v="432.29"/>
    <n v="0.03"/>
    <n v="2096.61"/>
    <n v="1504.33"/>
    <n v="2052.9499999999998"/>
    <n v="450"/>
    <n v="592.2800000000002"/>
    <n v="0.28249412146274233"/>
    <n v="43.660000000000309"/>
    <s v="Above Target"/>
  </r>
  <r>
    <s v="ORD1128"/>
    <x v="95"/>
    <x v="2"/>
    <x v="2"/>
    <s v="Customer 013"/>
    <s v="Online"/>
    <x v="1"/>
    <s v="Webcam HD"/>
    <n v="14"/>
    <n v="74.81"/>
    <n v="0.02"/>
    <n v="1026.3900000000001"/>
    <n v="619.02"/>
    <n v="1100.6600000000001"/>
    <n v="75"/>
    <n v="407.37000000000012"/>
    <n v="0.39689591675678842"/>
    <n v="-74.269999999999982"/>
    <s v="Below Target"/>
  </r>
  <r>
    <s v="ORD1129"/>
    <x v="103"/>
    <x v="0"/>
    <x v="5"/>
    <s v="Customer 083"/>
    <s v="Distributor"/>
    <x v="0"/>
    <s v="Business 13"/>
    <n v="14"/>
    <n v="965.72"/>
    <n v="0.03"/>
    <n v="13114.48"/>
    <n v="9028.4"/>
    <n v="12372.43"/>
    <n v="950"/>
    <n v="4086.08"/>
    <n v="0.31157011181533695"/>
    <n v="742.04999999999927"/>
    <s v="Above Target"/>
  </r>
  <r>
    <s v="ORD1130"/>
    <x v="8"/>
    <x v="0"/>
    <x v="5"/>
    <s v="Customer 008"/>
    <s v="Online"/>
    <x v="3"/>
    <s v="LaserJet M200"/>
    <n v="10"/>
    <n v="258.54000000000002"/>
    <n v="0.08"/>
    <n v="2378.5700000000002"/>
    <n v="1810.98"/>
    <n v="2235"/>
    <n v="260"/>
    <n v="567.59000000000015"/>
    <n v="0.23862656974568758"/>
    <n v="143.57000000000016"/>
    <s v="Above Target"/>
  </r>
  <r>
    <s v="ORD1131"/>
    <x v="60"/>
    <x v="2"/>
    <x v="1"/>
    <s v="Customer 053"/>
    <s v="Retail"/>
    <x v="0"/>
    <s v="Business 13"/>
    <n v="4"/>
    <n v="917.63"/>
    <n v="0"/>
    <n v="3670.52"/>
    <n v="2212.2800000000002"/>
    <n v="3715.38"/>
    <n v="950"/>
    <n v="1458.2399999999998"/>
    <n v="0.39728430849035007"/>
    <n v="-44.860000000000127"/>
    <s v="Below Target"/>
  </r>
  <r>
    <s v="ORD1132"/>
    <x v="104"/>
    <x v="1"/>
    <x v="5"/>
    <s v="Customer 039"/>
    <s v="Online"/>
    <x v="1"/>
    <s v="Webcam HD"/>
    <n v="11"/>
    <n v="75.05"/>
    <n v="0.1"/>
    <n v="743"/>
    <n v="513.67999999999995"/>
    <n v="763.18"/>
    <n v="75"/>
    <n v="229.32000000000005"/>
    <n v="0.30864064602960978"/>
    <n v="-20.17999999999995"/>
    <s v="Below Target"/>
  </r>
  <r>
    <s v="ORD1133"/>
    <x v="105"/>
    <x v="3"/>
    <x v="1"/>
    <s v="Customer 029"/>
    <s v="Online"/>
    <x v="3"/>
    <s v="OfficeJet Pro"/>
    <n v="9"/>
    <n v="323.22000000000003"/>
    <n v="0.05"/>
    <n v="2763.53"/>
    <n v="2111.17"/>
    <n v="2740.49"/>
    <n v="340"/>
    <n v="652.36000000000013"/>
    <n v="0.23606040100885464"/>
    <n v="23.040000000000418"/>
    <s v="Above Target"/>
  </r>
  <r>
    <s v="ORD1134"/>
    <x v="36"/>
    <x v="1"/>
    <x v="4"/>
    <s v="Customer 007"/>
    <s v="Distributor"/>
    <x v="2"/>
    <s v="Monitor 24"/>
    <n v="11"/>
    <n v="209.85"/>
    <n v="0.03"/>
    <n v="2239.1"/>
    <n v="1782.5"/>
    <n v="2467.58"/>
    <n v="220"/>
    <n v="456.59999999999991"/>
    <n v="0.20392121834665711"/>
    <n v="-228.48000000000002"/>
    <s v="Below Target"/>
  </r>
  <r>
    <s v="ORD1135"/>
    <x v="106"/>
    <x v="2"/>
    <x v="5"/>
    <s v="Customer 113"/>
    <s v="Online"/>
    <x v="1"/>
    <s v="USB-C Hub"/>
    <n v="11"/>
    <n v="59.62"/>
    <n v="0.08"/>
    <n v="603.35"/>
    <n v="491.02"/>
    <n v="573.75"/>
    <n v="60"/>
    <n v="112.33000000000004"/>
    <n v="0.18617717742603801"/>
    <n v="29.600000000000023"/>
    <s v="Above Target"/>
  </r>
  <r>
    <s v="ORD1136"/>
    <x v="107"/>
    <x v="1"/>
    <x v="1"/>
    <s v="Customer 113"/>
    <s v="Corporate"/>
    <x v="2"/>
    <s v="Monitor 27"/>
    <n v="15"/>
    <n v="311.56"/>
    <n v="0.1"/>
    <n v="4206.0600000000004"/>
    <n v="2711.27"/>
    <n v="3862.02"/>
    <n v="320"/>
    <n v="1494.7900000000004"/>
    <n v="0.35538960452299784"/>
    <n v="344.04000000000042"/>
    <s v="Above Target"/>
  </r>
  <r>
    <s v="ORD1137"/>
    <x v="108"/>
    <x v="3"/>
    <x v="2"/>
    <s v="Customer 108"/>
    <s v="Online"/>
    <x v="1"/>
    <s v="Webcam HD"/>
    <n v="4"/>
    <n v="74.099999999999994"/>
    <n v="0.1"/>
    <n v="266.76"/>
    <n v="214.15"/>
    <n v="297.60000000000002"/>
    <n v="75"/>
    <n v="52.609999999999985"/>
    <n v="0.19721847353426297"/>
    <n v="-30.840000000000032"/>
    <s v="Below Target"/>
  </r>
  <r>
    <s v="ORD1138"/>
    <x v="109"/>
    <x v="0"/>
    <x v="0"/>
    <s v="Customer 117"/>
    <s v="Retail"/>
    <x v="1"/>
    <s v="Wireless Mouse"/>
    <n v="12"/>
    <n v="34.07"/>
    <n v="0.03"/>
    <n v="396.57"/>
    <n v="306.8"/>
    <n v="386.25"/>
    <n v="35"/>
    <n v="89.769999999999982"/>
    <n v="0.22636608921501875"/>
    <n v="10.319999999999993"/>
    <s v="Above Target"/>
  </r>
  <r>
    <s v="ORD1139"/>
    <x v="110"/>
    <x v="2"/>
    <x v="4"/>
    <s v="Customer 004"/>
    <s v="Online"/>
    <x v="0"/>
    <s v="ProBook 14"/>
    <n v="1"/>
    <n v="817.01"/>
    <n v="0.08"/>
    <n v="751.65"/>
    <n v="604.6"/>
    <n v="723.66"/>
    <n v="850"/>
    <n v="147.04999999999995"/>
    <n v="0.19563626687953165"/>
    <n v="27.990000000000009"/>
    <s v="Above Target"/>
  </r>
  <r>
    <s v="ORD1140"/>
    <x v="111"/>
    <x v="0"/>
    <x v="0"/>
    <s v="Customer 098"/>
    <s v="Distributor"/>
    <x v="0"/>
    <s v="Business 13"/>
    <n v="12"/>
    <n v="963.64"/>
    <n v="0"/>
    <n v="11563.68"/>
    <n v="8711.4"/>
    <n v="12220.83"/>
    <n v="950"/>
    <n v="2852.2800000000007"/>
    <n v="0.24665850317545976"/>
    <n v="-657.14999999999964"/>
    <s v="Below Target"/>
  </r>
  <r>
    <s v="ORD1141"/>
    <x v="112"/>
    <x v="2"/>
    <x v="1"/>
    <s v="Customer 015"/>
    <s v="Online"/>
    <x v="1"/>
    <s v="USB-C Hub"/>
    <n v="15"/>
    <n v="60.98"/>
    <n v="0.1"/>
    <n v="823.23"/>
    <n v="664.97"/>
    <n v="745.61"/>
    <n v="60"/>
    <n v="158.26"/>
    <n v="0.19224275111451233"/>
    <n v="77.62"/>
    <s v="Above Target"/>
  </r>
  <r>
    <s v="ORD1142"/>
    <x v="113"/>
    <x v="2"/>
    <x v="5"/>
    <s v="Customer 102"/>
    <s v="Retail"/>
    <x v="3"/>
    <s v="ColorJet X"/>
    <n v="13"/>
    <n v="425.64"/>
    <n v="0.1"/>
    <n v="4979.99"/>
    <n v="3680.7"/>
    <n v="4952.6400000000003"/>
    <n v="420"/>
    <n v="1299.29"/>
    <n v="0.26090213032556292"/>
    <n v="27.349999999999454"/>
    <s v="Above Target"/>
  </r>
  <r>
    <s v="ORD1143"/>
    <x v="114"/>
    <x v="0"/>
    <x v="4"/>
    <s v="Customer 098"/>
    <s v="Distributor"/>
    <x v="2"/>
    <s v="Monitor 32"/>
    <n v="6"/>
    <n v="446.57"/>
    <n v="0"/>
    <n v="2679.42"/>
    <n v="1814.5"/>
    <n v="2956"/>
    <n v="450"/>
    <n v="864.92000000000007"/>
    <n v="0.32280120324547851"/>
    <n v="-276.57999999999993"/>
    <s v="Below Target"/>
  </r>
  <r>
    <s v="ORD1144"/>
    <x v="115"/>
    <x v="3"/>
    <x v="5"/>
    <s v="Customer 056"/>
    <s v="Online"/>
    <x v="3"/>
    <s v="ColorJet X"/>
    <n v="10"/>
    <n v="420.16"/>
    <n v="0.03"/>
    <n v="4075.55"/>
    <n v="2999.69"/>
    <n v="3616.79"/>
    <n v="420"/>
    <n v="1075.8600000000001"/>
    <n v="0.26397909484609439"/>
    <n v="458.76000000000022"/>
    <s v="Above Target"/>
  </r>
  <r>
    <s v="ORD1145"/>
    <x v="116"/>
    <x v="0"/>
    <x v="0"/>
    <s v="Customer 105"/>
    <s v="Distributor"/>
    <x v="1"/>
    <s v="Mechanical Keyboard"/>
    <n v="12"/>
    <n v="81.16"/>
    <n v="0.08"/>
    <n v="896.01"/>
    <n v="580.29999999999995"/>
    <n v="973.91"/>
    <n v="85"/>
    <n v="315.71000000000004"/>
    <n v="0.3523509782256895"/>
    <n v="-77.899999999999977"/>
    <s v="Below Target"/>
  </r>
  <r>
    <s v="ORD1146"/>
    <x v="117"/>
    <x v="0"/>
    <x v="3"/>
    <s v="Customer 063"/>
    <s v="Online"/>
    <x v="1"/>
    <s v="Wireless Mouse"/>
    <n v="1"/>
    <n v="35.08"/>
    <n v="0.03"/>
    <n v="34.03"/>
    <n v="26.12"/>
    <n v="37.93"/>
    <n v="35"/>
    <n v="7.91"/>
    <n v="0.23244196297384659"/>
    <n v="-3.8999999999999986"/>
    <s v="Below Target"/>
  </r>
  <r>
    <s v="ORD1147"/>
    <x v="118"/>
    <x v="1"/>
    <x v="0"/>
    <s v="Customer 021"/>
    <s v="Distributor"/>
    <x v="3"/>
    <s v="OfficeJet Pro"/>
    <n v="13"/>
    <n v="351.06"/>
    <n v="0.05"/>
    <n v="4335.59"/>
    <n v="3166.55"/>
    <n v="4811.33"/>
    <n v="340"/>
    <n v="1169.04"/>
    <n v="0.26963804234256467"/>
    <n v="-475.73999999999978"/>
    <s v="Below Target"/>
  </r>
  <r>
    <s v="ORD1148"/>
    <x v="119"/>
    <x v="3"/>
    <x v="4"/>
    <s v="Customer 072"/>
    <s v="Online"/>
    <x v="3"/>
    <s v="OfficeJet Pro"/>
    <n v="4"/>
    <n v="339.94"/>
    <n v="0"/>
    <n v="1359.76"/>
    <n v="1096.67"/>
    <n v="1446.83"/>
    <n v="340"/>
    <n v="263.08999999999992"/>
    <n v="0.19348267341295516"/>
    <n v="-87.069999999999936"/>
    <s v="Below Target"/>
  </r>
  <r>
    <s v="ORD1149"/>
    <x v="120"/>
    <x v="3"/>
    <x v="4"/>
    <s v="Customer 004"/>
    <s v="Distributor"/>
    <x v="2"/>
    <s v="Monitor 32"/>
    <n v="6"/>
    <n v="431.78"/>
    <n v="0.05"/>
    <n v="2461.15"/>
    <n v="1959.58"/>
    <n v="2606"/>
    <n v="450"/>
    <n v="501.57000000000016"/>
    <n v="0.20379497389431775"/>
    <n v="-144.84999999999991"/>
    <s v="Below Target"/>
  </r>
  <r>
    <s v="ORD1150"/>
    <x v="121"/>
    <x v="2"/>
    <x v="2"/>
    <s v="Customer 017"/>
    <s v="Online"/>
    <x v="2"/>
    <s v="Monitor 27"/>
    <n v="5"/>
    <n v="317.7"/>
    <n v="0.08"/>
    <n v="1461.42"/>
    <n v="1037.99"/>
    <n v="1419.09"/>
    <n v="320"/>
    <n v="423.43000000000006"/>
    <n v="0.28973874724582943"/>
    <n v="42.330000000000155"/>
    <s v="Above Target"/>
  </r>
  <r>
    <s v="ORD1151"/>
    <x v="122"/>
    <x v="2"/>
    <x v="2"/>
    <s v="Customer 057"/>
    <s v="Distributor"/>
    <x v="1"/>
    <s v="Webcam HD"/>
    <n v="6"/>
    <n v="75.16"/>
    <n v="0.05"/>
    <n v="428.41"/>
    <n v="319.45"/>
    <n v="453.29"/>
    <n v="75"/>
    <n v="108.96000000000004"/>
    <n v="0.25433579981793147"/>
    <n v="-24.879999999999995"/>
    <s v="Below Target"/>
  </r>
  <r>
    <s v="ORD1152"/>
    <x v="123"/>
    <x v="2"/>
    <x v="3"/>
    <s v="Customer 039"/>
    <s v="Retail"/>
    <x v="2"/>
    <s v="Monitor 24"/>
    <n v="3"/>
    <n v="216.35"/>
    <n v="0.1"/>
    <n v="584.14"/>
    <n v="464.23"/>
    <n v="547.4"/>
    <n v="220"/>
    <n v="119.90999999999997"/>
    <n v="0.2052761324340055"/>
    <n v="36.740000000000009"/>
    <s v="Above Target"/>
  </r>
  <r>
    <s v="ORD1153"/>
    <x v="24"/>
    <x v="2"/>
    <x v="3"/>
    <s v="Customer 094"/>
    <s v="Online"/>
    <x v="2"/>
    <s v="Monitor 24"/>
    <n v="12"/>
    <n v="216.18"/>
    <n v="0.08"/>
    <n v="2386.63"/>
    <n v="1615.03"/>
    <n v="2235.54"/>
    <n v="220"/>
    <n v="771.60000000000014"/>
    <n v="0.32330105630114431"/>
    <n v="151.09000000000015"/>
    <s v="Above Target"/>
  </r>
  <r>
    <s v="ORD1154"/>
    <x v="124"/>
    <x v="1"/>
    <x v="2"/>
    <s v="Customer 036"/>
    <s v="Retail"/>
    <x v="3"/>
    <s v="LaserJet M200"/>
    <n v="2"/>
    <n v="252.08"/>
    <n v="0.02"/>
    <n v="494.08"/>
    <n v="403.39"/>
    <n v="529.04999999999995"/>
    <n v="260"/>
    <n v="90.69"/>
    <n v="0.1835532707253886"/>
    <n v="-34.96999999999997"/>
    <s v="Below Target"/>
  </r>
  <r>
    <s v="ORD1155"/>
    <x v="75"/>
    <x v="0"/>
    <x v="2"/>
    <s v="Customer 110"/>
    <s v="Corporate"/>
    <x v="3"/>
    <s v="LaserJet M200"/>
    <n v="15"/>
    <n v="249.78"/>
    <n v="0.02"/>
    <n v="3671.77"/>
    <n v="2918.16"/>
    <n v="3639.97"/>
    <n v="260"/>
    <n v="753.61000000000013"/>
    <n v="0.20524433719977017"/>
    <n v="31.800000000000182"/>
    <s v="Above Target"/>
  </r>
  <r>
    <s v="ORD1156"/>
    <x v="125"/>
    <x v="3"/>
    <x v="5"/>
    <s v="Customer 095"/>
    <s v="Retail"/>
    <x v="2"/>
    <s v="Monitor 24"/>
    <n v="9"/>
    <n v="230.58"/>
    <n v="0.03"/>
    <n v="2012.96"/>
    <n v="1412.94"/>
    <n v="1839.92"/>
    <n v="220"/>
    <n v="600.02"/>
    <n v="0.29807845163341545"/>
    <n v="173.03999999999996"/>
    <s v="Above Target"/>
  </r>
  <r>
    <s v="ORD1157"/>
    <x v="126"/>
    <x v="2"/>
    <x v="4"/>
    <s v="Customer 024"/>
    <s v="Online"/>
    <x v="3"/>
    <s v="OfficeJet Pro"/>
    <n v="10"/>
    <n v="342.97"/>
    <n v="0.1"/>
    <n v="3086.73"/>
    <n v="2138.04"/>
    <n v="2885.65"/>
    <n v="340"/>
    <n v="948.69"/>
    <n v="0.30734466571420244"/>
    <n v="201.07999999999993"/>
    <s v="Above Target"/>
  </r>
  <r>
    <s v="ORD1158"/>
    <x v="127"/>
    <x v="3"/>
    <x v="4"/>
    <s v="Customer 092"/>
    <s v="Retail"/>
    <x v="1"/>
    <s v="Wireless Mouse"/>
    <n v="6"/>
    <n v="34.159999999999997"/>
    <n v="0.1"/>
    <n v="184.46"/>
    <n v="114.65"/>
    <n v="180.9"/>
    <n v="35"/>
    <n v="69.81"/>
    <n v="0.37845603382847232"/>
    <n v="3.5600000000000023"/>
    <s v="Above Target"/>
  </r>
  <r>
    <s v="ORD1159"/>
    <x v="39"/>
    <x v="2"/>
    <x v="4"/>
    <s v="Customer 042"/>
    <s v="Online"/>
    <x v="1"/>
    <s v="Wireless Mouse"/>
    <n v="8"/>
    <n v="34.840000000000003"/>
    <n v="0.08"/>
    <n v="256.42"/>
    <n v="202.28"/>
    <n v="257.54000000000002"/>
    <n v="35"/>
    <n v="54.140000000000015"/>
    <n v="0.21113797675688328"/>
    <n v="-1.1200000000000045"/>
    <s v="Below Target"/>
  </r>
  <r>
    <s v="ORD1160"/>
    <x v="94"/>
    <x v="2"/>
    <x v="0"/>
    <s v="Customer 045"/>
    <s v="Online"/>
    <x v="1"/>
    <s v="Mechanical Keyboard"/>
    <n v="15"/>
    <n v="89.03"/>
    <n v="0"/>
    <n v="1335.45"/>
    <n v="875.08"/>
    <n v="1245.03"/>
    <n v="85"/>
    <n v="460.37"/>
    <n v="0.34473024074282077"/>
    <n v="90.420000000000073"/>
    <s v="Above Target"/>
  </r>
  <r>
    <s v="ORD1161"/>
    <x v="128"/>
    <x v="1"/>
    <x v="0"/>
    <s v="Customer 044"/>
    <s v="Corporate"/>
    <x v="1"/>
    <s v="Mechanical Keyboard"/>
    <n v="9"/>
    <n v="82.49"/>
    <n v="0.05"/>
    <n v="705.29"/>
    <n v="502.65"/>
    <n v="728.86"/>
    <n v="85"/>
    <n v="202.64"/>
    <n v="0.28731443803258233"/>
    <n v="-23.57000000000005"/>
    <s v="Below Target"/>
  </r>
  <r>
    <s v="ORD1162"/>
    <x v="129"/>
    <x v="1"/>
    <x v="4"/>
    <s v="Customer 008"/>
    <s v="Distributor"/>
    <x v="2"/>
    <s v="Monitor 24"/>
    <n v="11"/>
    <n v="213.04"/>
    <n v="0.08"/>
    <n v="2155.96"/>
    <n v="1655.33"/>
    <n v="1960.58"/>
    <n v="220"/>
    <n v="500.63000000000011"/>
    <n v="0.23220746210504839"/>
    <n v="195.38000000000011"/>
    <s v="Above Target"/>
  </r>
  <r>
    <s v="ORD1163"/>
    <x v="130"/>
    <x v="1"/>
    <x v="0"/>
    <s v="Customer 034"/>
    <s v="Online"/>
    <x v="1"/>
    <s v="Wireless Mouse"/>
    <n v="7"/>
    <n v="33.47"/>
    <n v="0"/>
    <n v="234.29"/>
    <n v="162.15"/>
    <n v="229.82"/>
    <n v="35"/>
    <n v="72.139999999999986"/>
    <n v="0.30790900166460367"/>
    <n v="4.4699999999999989"/>
    <s v="Above Target"/>
  </r>
  <r>
    <s v="ORD1164"/>
    <x v="131"/>
    <x v="3"/>
    <x v="2"/>
    <s v="Customer 028"/>
    <s v="Retail"/>
    <x v="2"/>
    <s v="Monitor 27"/>
    <n v="12"/>
    <n v="316.82"/>
    <n v="0.08"/>
    <n v="3497.69"/>
    <n v="2846.18"/>
    <n v="3912.57"/>
    <n v="320"/>
    <n v="651.51000000000022"/>
    <n v="0.18626865159576755"/>
    <n v="-414.88000000000011"/>
    <s v="Below Target"/>
  </r>
  <r>
    <s v="ORD1165"/>
    <x v="132"/>
    <x v="2"/>
    <x v="1"/>
    <s v="Customer 046"/>
    <s v="Corporate"/>
    <x v="3"/>
    <s v="ColorJet X"/>
    <n v="2"/>
    <n v="433"/>
    <n v="0.1"/>
    <n v="779.4"/>
    <n v="500.76"/>
    <n v="806"/>
    <n v="420"/>
    <n v="278.64"/>
    <n v="0.35750577367205544"/>
    <n v="-26.600000000000023"/>
    <s v="Below Target"/>
  </r>
  <r>
    <s v="ORD1166"/>
    <x v="133"/>
    <x v="2"/>
    <x v="3"/>
    <s v="Customer 091"/>
    <s v="Corporate"/>
    <x v="2"/>
    <s v="Monitor 27"/>
    <n v="13"/>
    <n v="321.54000000000002"/>
    <n v="0.02"/>
    <n v="4096.42"/>
    <n v="3160.66"/>
    <n v="4066.34"/>
    <n v="320"/>
    <n v="935.76000000000022"/>
    <n v="0.22843360788200434"/>
    <n v="30.079999999999927"/>
    <s v="Above Target"/>
  </r>
  <r>
    <s v="ORD1167"/>
    <x v="134"/>
    <x v="1"/>
    <x v="3"/>
    <s v="Customer 032"/>
    <s v="Distributor"/>
    <x v="2"/>
    <s v="Monitor 27"/>
    <n v="7"/>
    <n v="325.72000000000003"/>
    <n v="0.05"/>
    <n v="2166.04"/>
    <n v="1300.9100000000001"/>
    <n v="2281.34"/>
    <n v="320"/>
    <n v="865.12999999999988"/>
    <n v="0.39940628981920923"/>
    <n v="-115.30000000000018"/>
    <s v="Below Target"/>
  </r>
  <r>
    <s v="ORD1168"/>
    <x v="115"/>
    <x v="2"/>
    <x v="3"/>
    <s v="Customer 110"/>
    <s v="Corporate"/>
    <x v="1"/>
    <s v="Mechanical Keyboard"/>
    <n v="8"/>
    <n v="84.39"/>
    <n v="0.1"/>
    <n v="607.61"/>
    <n v="375.98"/>
    <n v="665.51"/>
    <n v="85"/>
    <n v="231.63"/>
    <n v="0.38121492404667467"/>
    <n v="-57.899999999999977"/>
    <s v="Below Target"/>
  </r>
  <r>
    <s v="ORD1169"/>
    <x v="135"/>
    <x v="1"/>
    <x v="4"/>
    <s v="Customer 075"/>
    <s v="Online"/>
    <x v="0"/>
    <s v="UltraBook 15"/>
    <n v="14"/>
    <n v="1107.0999999999999"/>
    <n v="0.03"/>
    <n v="15034.42"/>
    <n v="11613.92"/>
    <n v="13736.9"/>
    <n v="1100"/>
    <n v="3420.5"/>
    <n v="0.22751127080392858"/>
    <n v="1297.5200000000004"/>
    <s v="Above Target"/>
  </r>
  <r>
    <s v="ORD1170"/>
    <x v="136"/>
    <x v="2"/>
    <x v="1"/>
    <s v="Customer 024"/>
    <s v="Corporate"/>
    <x v="0"/>
    <s v="ProBook 14"/>
    <n v="4"/>
    <n v="888.4"/>
    <n v="0.1"/>
    <n v="3198.24"/>
    <n v="2125.1"/>
    <n v="3281.29"/>
    <n v="850"/>
    <n v="1073.1399999999999"/>
    <n v="0.33554079743859122"/>
    <n v="-83.050000000000182"/>
    <s v="Below Target"/>
  </r>
  <r>
    <s v="ORD1171"/>
    <x v="116"/>
    <x v="0"/>
    <x v="4"/>
    <s v="Customer 116"/>
    <s v="Distributor"/>
    <x v="3"/>
    <s v="ColorJet X"/>
    <n v="3"/>
    <n v="407.76"/>
    <n v="0.05"/>
    <n v="1162.1199999999999"/>
    <n v="899.68"/>
    <n v="1069.5"/>
    <n v="420"/>
    <n v="262.43999999999994"/>
    <n v="0.22582865796991702"/>
    <n v="92.619999999999891"/>
    <s v="Above Target"/>
  </r>
  <r>
    <s v="ORD1172"/>
    <x v="83"/>
    <x v="0"/>
    <x v="0"/>
    <s v="Customer 016"/>
    <s v="Distributor"/>
    <x v="1"/>
    <s v="Mechanical Keyboard"/>
    <n v="12"/>
    <n v="82.56"/>
    <n v="0"/>
    <n v="990.72"/>
    <n v="756.14"/>
    <n v="976.12"/>
    <n v="85"/>
    <n v="234.58000000000004"/>
    <n v="0.23677729328165378"/>
    <n v="14.600000000000023"/>
    <s v="Above Target"/>
  </r>
  <r>
    <s v="ORD1173"/>
    <x v="137"/>
    <x v="2"/>
    <x v="4"/>
    <s v="Customer 063"/>
    <s v="Retail"/>
    <x v="2"/>
    <s v="Monitor 24"/>
    <n v="14"/>
    <n v="212.07"/>
    <n v="0.05"/>
    <n v="2820.53"/>
    <n v="2038.07"/>
    <n v="2809.95"/>
    <n v="220"/>
    <n v="782.46000000000026"/>
    <n v="0.27741594664832503"/>
    <n v="10.580000000000382"/>
    <s v="Above Target"/>
  </r>
  <r>
    <s v="ORD1174"/>
    <x v="138"/>
    <x v="3"/>
    <x v="4"/>
    <s v="Customer 073"/>
    <s v="Corporate"/>
    <x v="0"/>
    <s v="Business 13"/>
    <n v="9"/>
    <n v="959.46"/>
    <n v="0.1"/>
    <n v="7771.63"/>
    <n v="4674.2700000000004"/>
    <n v="8407.23"/>
    <n v="950"/>
    <n v="3097.3599999999997"/>
    <n v="0.39854702295400057"/>
    <n v="-635.59999999999945"/>
    <s v="Below Target"/>
  </r>
  <r>
    <s v="ORD1175"/>
    <x v="72"/>
    <x v="0"/>
    <x v="1"/>
    <s v="Customer 082"/>
    <s v="Distributor"/>
    <x v="2"/>
    <s v="Monitor 27"/>
    <n v="14"/>
    <n v="318.89999999999998"/>
    <n v="0.05"/>
    <n v="4241.37"/>
    <n v="2935.62"/>
    <n v="4710.24"/>
    <n v="320"/>
    <n v="1305.75"/>
    <n v="0.30786043188875295"/>
    <n v="-468.86999999999989"/>
    <s v="Below Target"/>
  </r>
  <r>
    <s v="ORD1176"/>
    <x v="106"/>
    <x v="1"/>
    <x v="5"/>
    <s v="Customer 066"/>
    <s v="Corporate"/>
    <x v="3"/>
    <s v="LaserJet M200"/>
    <n v="1"/>
    <n v="247.53"/>
    <n v="0"/>
    <n v="247.53"/>
    <n v="185.69"/>
    <n v="273.16000000000003"/>
    <n v="260"/>
    <n v="61.84"/>
    <n v="0.24982830363996283"/>
    <n v="-25.630000000000024"/>
    <s v="Below Target"/>
  </r>
  <r>
    <s v="ORD1177"/>
    <x v="59"/>
    <x v="1"/>
    <x v="5"/>
    <s v="Customer 111"/>
    <s v="Distributor"/>
    <x v="3"/>
    <s v="ColorJet X"/>
    <n v="15"/>
    <n v="405.07"/>
    <n v="0.02"/>
    <n v="5954.53"/>
    <n v="4513.54"/>
    <n v="6133.56"/>
    <n v="420"/>
    <n v="1440.9899999999998"/>
    <n v="0.24199894869956148"/>
    <n v="-179.03000000000065"/>
    <s v="Below Target"/>
  </r>
  <r>
    <s v="ORD1178"/>
    <x v="15"/>
    <x v="1"/>
    <x v="0"/>
    <s v="Customer 007"/>
    <s v="Distributor"/>
    <x v="1"/>
    <s v="Mechanical Keyboard"/>
    <n v="13"/>
    <n v="85.22"/>
    <n v="0.02"/>
    <n v="1085.7"/>
    <n v="719.29"/>
    <n v="1044.52"/>
    <n v="85"/>
    <n v="366.41000000000008"/>
    <n v="0.33748733535967584"/>
    <n v="41.180000000000064"/>
    <s v="Above Target"/>
  </r>
  <r>
    <s v="ORD1179"/>
    <x v="139"/>
    <x v="1"/>
    <x v="1"/>
    <s v="Customer 084"/>
    <s v="Corporate"/>
    <x v="2"/>
    <s v="Monitor 32"/>
    <n v="14"/>
    <n v="449.72"/>
    <n v="0.03"/>
    <n v="6107.2"/>
    <n v="4341.1499999999996"/>
    <n v="5772.57"/>
    <n v="450"/>
    <n v="1766.0500000000002"/>
    <n v="0.28917507204610954"/>
    <n v="334.63000000000011"/>
    <s v="Above Target"/>
  </r>
  <r>
    <s v="ORD1180"/>
    <x v="93"/>
    <x v="0"/>
    <x v="5"/>
    <s v="Customer 052"/>
    <s v="Corporate"/>
    <x v="2"/>
    <s v="Monitor 32"/>
    <n v="4"/>
    <n v="441.77"/>
    <n v="0.03"/>
    <n v="1714.07"/>
    <n v="1076.55"/>
    <n v="1908.55"/>
    <n v="450"/>
    <n v="637.52"/>
    <n v="0.37193346829476043"/>
    <n v="-194.48000000000002"/>
    <s v="Below Target"/>
  </r>
  <r>
    <s v="ORD1181"/>
    <x v="140"/>
    <x v="3"/>
    <x v="0"/>
    <s v="Customer 099"/>
    <s v="Online"/>
    <x v="1"/>
    <s v="Webcam HD"/>
    <n v="1"/>
    <n v="74.239999999999995"/>
    <n v="0"/>
    <n v="74.239999999999995"/>
    <n v="44.65"/>
    <n v="68.72"/>
    <n v="75"/>
    <n v="29.589999999999996"/>
    <n v="0.39857219827586204"/>
    <n v="5.519999999999996"/>
    <s v="Above Target"/>
  </r>
  <r>
    <s v="ORD1182"/>
    <x v="141"/>
    <x v="0"/>
    <x v="1"/>
    <s v="Customer 006"/>
    <s v="Corporate"/>
    <x v="1"/>
    <s v="USB-C Hub"/>
    <n v="10"/>
    <n v="59.26"/>
    <n v="0.02"/>
    <n v="580.75"/>
    <n v="428.53"/>
    <n v="608.12"/>
    <n v="60"/>
    <n v="152.22000000000003"/>
    <n v="0.26210934136891956"/>
    <n v="-27.370000000000005"/>
    <s v="Below Target"/>
  </r>
  <r>
    <s v="ORD1183"/>
    <x v="142"/>
    <x v="0"/>
    <x v="4"/>
    <s v="Customer 002"/>
    <s v="Distributor"/>
    <x v="3"/>
    <s v="ColorJet X"/>
    <n v="3"/>
    <n v="403.26"/>
    <n v="0.02"/>
    <n v="1185.58"/>
    <n v="938.06"/>
    <n v="1163.26"/>
    <n v="420"/>
    <n v="247.51999999999998"/>
    <n v="0.20877545167765987"/>
    <n v="22.319999999999936"/>
    <s v="Above Target"/>
  </r>
  <r>
    <s v="ORD1184"/>
    <x v="143"/>
    <x v="0"/>
    <x v="3"/>
    <s v="Customer 003"/>
    <s v="Corporate"/>
    <x v="3"/>
    <s v="ColorJet X"/>
    <n v="5"/>
    <n v="422.61"/>
    <n v="0.03"/>
    <n v="2049.66"/>
    <n v="1618.7"/>
    <n v="1894.6"/>
    <n v="420"/>
    <n v="430.95999999999981"/>
    <n v="0.21025926251183116"/>
    <n v="155.05999999999995"/>
    <s v="Above Target"/>
  </r>
  <r>
    <s v="ORD1185"/>
    <x v="144"/>
    <x v="0"/>
    <x v="2"/>
    <s v="Customer 074"/>
    <s v="Corporate"/>
    <x v="3"/>
    <s v="LaserJet M200"/>
    <n v="10"/>
    <n v="271.27999999999997"/>
    <n v="0"/>
    <n v="2712.8"/>
    <n v="1924.75"/>
    <n v="2727.22"/>
    <n v="260"/>
    <n v="788.05000000000018"/>
    <n v="0.29049321734001776"/>
    <n v="-14.419999999999618"/>
    <s v="Below Target"/>
  </r>
  <r>
    <s v="ORD1186"/>
    <x v="145"/>
    <x v="2"/>
    <x v="2"/>
    <s v="Customer 099"/>
    <s v="Corporate"/>
    <x v="0"/>
    <s v="UltraBook 15"/>
    <n v="1"/>
    <n v="1119.8"/>
    <n v="0.08"/>
    <n v="1030.22"/>
    <n v="752.3"/>
    <n v="1138.45"/>
    <n v="1100"/>
    <n v="277.92000000000007"/>
    <n v="0.26976762244957392"/>
    <n v="-108.23000000000002"/>
    <s v="Below Target"/>
  </r>
  <r>
    <s v="ORD1187"/>
    <x v="44"/>
    <x v="3"/>
    <x v="5"/>
    <s v="Customer 002"/>
    <s v="Online"/>
    <x v="0"/>
    <s v="UltraBook 15"/>
    <n v="2"/>
    <n v="1115.9000000000001"/>
    <n v="0.02"/>
    <n v="2187.16"/>
    <n v="1743.32"/>
    <n v="2253.77"/>
    <n v="1100"/>
    <n v="443.83999999999992"/>
    <n v="0.2029298268073666"/>
    <n v="-66.610000000000127"/>
    <s v="Below Target"/>
  </r>
  <r>
    <s v="ORD1188"/>
    <x v="88"/>
    <x v="2"/>
    <x v="2"/>
    <s v="Customer 094"/>
    <s v="Retail"/>
    <x v="2"/>
    <s v="Monitor 24"/>
    <n v="14"/>
    <n v="211.67"/>
    <n v="0.05"/>
    <n v="2815.21"/>
    <n v="1700.14"/>
    <n v="2963.41"/>
    <n v="220"/>
    <n v="1115.07"/>
    <n v="0.39608768084796514"/>
    <n v="-148.19999999999982"/>
    <s v="Below Target"/>
  </r>
  <r>
    <s v="ORD1189"/>
    <x v="146"/>
    <x v="0"/>
    <x v="3"/>
    <s v="Customer 081"/>
    <s v="Corporate"/>
    <x v="2"/>
    <s v="Monitor 32"/>
    <n v="13"/>
    <n v="461.13"/>
    <n v="0.1"/>
    <n v="5395.22"/>
    <n v="4252.5600000000004"/>
    <n v="5692.68"/>
    <n v="450"/>
    <n v="1142.6599999999999"/>
    <n v="0.21179117811692569"/>
    <n v="-297.46000000000004"/>
    <s v="Below Target"/>
  </r>
  <r>
    <s v="ORD1190"/>
    <x v="80"/>
    <x v="0"/>
    <x v="4"/>
    <s v="Customer 088"/>
    <s v="Online"/>
    <x v="3"/>
    <s v="LaserJet M200"/>
    <n v="15"/>
    <n v="270.14"/>
    <n v="0"/>
    <n v="4052.1"/>
    <n v="3070.63"/>
    <n v="3576.94"/>
    <n v="260"/>
    <n v="981.4699999999998"/>
    <n v="0.2422126798450186"/>
    <n v="475.15999999999985"/>
    <s v="Above Target"/>
  </r>
  <r>
    <s v="ORD1191"/>
    <x v="94"/>
    <x v="0"/>
    <x v="3"/>
    <s v="Customer 048"/>
    <s v="Corporate"/>
    <x v="2"/>
    <s v="Monitor 27"/>
    <n v="5"/>
    <n v="327.33999999999997"/>
    <n v="0.02"/>
    <n v="1603.97"/>
    <n v="1300.33"/>
    <n v="1732.9"/>
    <n v="320"/>
    <n v="303.6400000000001"/>
    <n v="0.18930528625847123"/>
    <n v="-128.93000000000006"/>
    <s v="Below Target"/>
  </r>
  <r>
    <s v="ORD1192"/>
    <x v="147"/>
    <x v="3"/>
    <x v="2"/>
    <s v="Customer 050"/>
    <s v="Corporate"/>
    <x v="3"/>
    <s v="LaserJet M200"/>
    <n v="3"/>
    <n v="250.77"/>
    <n v="0"/>
    <n v="752.31"/>
    <n v="511.51"/>
    <n v="778.47"/>
    <n v="260"/>
    <n v="240.79999999999995"/>
    <n v="0.32008081774800279"/>
    <n v="-26.160000000000082"/>
    <s v="Below Target"/>
  </r>
  <r>
    <s v="ORD1193"/>
    <x v="148"/>
    <x v="1"/>
    <x v="0"/>
    <s v="Customer 093"/>
    <s v="Online"/>
    <x v="3"/>
    <s v="ColorJet X"/>
    <n v="13"/>
    <n v="422.81"/>
    <n v="0.03"/>
    <n v="5331.63"/>
    <n v="3527.3"/>
    <n v="5487.54"/>
    <n v="420"/>
    <n v="1804.33"/>
    <n v="0.338419957874046"/>
    <n v="-155.90999999999985"/>
    <s v="Below Target"/>
  </r>
  <r>
    <s v="ORD1194"/>
    <x v="13"/>
    <x v="3"/>
    <x v="4"/>
    <s v="Customer 049"/>
    <s v="Retail"/>
    <x v="1"/>
    <s v="Webcam HD"/>
    <n v="14"/>
    <n v="73.56"/>
    <n v="0.05"/>
    <n v="978.35"/>
    <n v="797.16"/>
    <n v="918.74"/>
    <n v="75"/>
    <n v="181.19000000000005"/>
    <n v="0.18519957070578019"/>
    <n v="59.610000000000014"/>
    <s v="Above Target"/>
  </r>
  <r>
    <s v="ORD1195"/>
    <x v="149"/>
    <x v="0"/>
    <x v="3"/>
    <s v="Customer 107"/>
    <s v="Retail"/>
    <x v="2"/>
    <s v="Monitor 27"/>
    <n v="12"/>
    <n v="304.05"/>
    <n v="0.03"/>
    <n v="3539.14"/>
    <n v="2332.17"/>
    <n v="3248.04"/>
    <n v="320"/>
    <n v="1206.9699999999998"/>
    <n v="0.34103482766999887"/>
    <n v="291.09999999999991"/>
    <s v="Above Target"/>
  </r>
  <r>
    <s v="ORD1196"/>
    <x v="3"/>
    <x v="1"/>
    <x v="0"/>
    <s v="Customer 011"/>
    <s v="Corporate"/>
    <x v="0"/>
    <s v="Business 13"/>
    <n v="5"/>
    <n v="995.16"/>
    <n v="0.08"/>
    <n v="4577.74"/>
    <n v="3436.15"/>
    <n v="5032.3100000000004"/>
    <n v="950"/>
    <n v="1141.5899999999997"/>
    <n v="0.24937851428871011"/>
    <n v="-454.57000000000062"/>
    <s v="Below Target"/>
  </r>
  <r>
    <s v="ORD1197"/>
    <x v="150"/>
    <x v="3"/>
    <x v="2"/>
    <s v="Customer 091"/>
    <s v="Retail"/>
    <x v="2"/>
    <s v="Monitor 24"/>
    <n v="13"/>
    <n v="225.5"/>
    <n v="0.02"/>
    <n v="2872.87"/>
    <n v="1919.32"/>
    <n v="2567.81"/>
    <n v="220"/>
    <n v="953.55"/>
    <n v="0.33191547128829357"/>
    <n v="305.05999999999995"/>
    <s v="Above Target"/>
  </r>
  <r>
    <s v="ORD1198"/>
    <x v="151"/>
    <x v="1"/>
    <x v="5"/>
    <s v="Customer 030"/>
    <s v="Corporate"/>
    <x v="1"/>
    <s v="Webcam HD"/>
    <n v="13"/>
    <n v="71.319999999999993"/>
    <n v="0.05"/>
    <n v="880.8"/>
    <n v="617.55999999999995"/>
    <n v="793.64"/>
    <n v="75"/>
    <n v="263.24"/>
    <n v="0.29886466848319709"/>
    <n v="87.159999999999968"/>
    <s v="Above Target"/>
  </r>
  <r>
    <s v="ORD1199"/>
    <x v="123"/>
    <x v="2"/>
    <x v="1"/>
    <s v="Customer 028"/>
    <s v="Retail"/>
    <x v="1"/>
    <s v="USB-C Hub"/>
    <n v="15"/>
    <n v="58.56"/>
    <n v="0.08"/>
    <n v="808.13"/>
    <n v="541.95000000000005"/>
    <n v="809.33"/>
    <n v="60"/>
    <n v="266.17999999999995"/>
    <n v="0.32937769913256526"/>
    <n v="-1.2000000000000455"/>
    <s v="Below Target"/>
  </r>
  <r>
    <s v="ORD1200"/>
    <x v="152"/>
    <x v="2"/>
    <x v="1"/>
    <s v="Customer 006"/>
    <s v="Corporate"/>
    <x v="0"/>
    <s v="Business 13"/>
    <n v="13"/>
    <n v="969.1"/>
    <n v="0.03"/>
    <n v="12220.35"/>
    <n v="8885.7900000000009"/>
    <n v="11806.49"/>
    <n v="950"/>
    <n v="3334.5599999999995"/>
    <n v="0.27286943499981581"/>
    <n v="413.86000000000058"/>
    <s v="Above Target"/>
  </r>
  <r>
    <s v="ORD1201"/>
    <x v="153"/>
    <x v="1"/>
    <x v="3"/>
    <s v="Customer 067"/>
    <s v="Online"/>
    <x v="0"/>
    <s v="UltraBook 15"/>
    <n v="6"/>
    <n v="1114.5999999999999"/>
    <n v="0"/>
    <n v="6687.6"/>
    <n v="4242.3100000000004"/>
    <n v="6843.63"/>
    <n v="1100"/>
    <n v="2445.29"/>
    <n v="0.36564537352712478"/>
    <n v="-156.02999999999975"/>
    <s v="Below Target"/>
  </r>
  <r>
    <s v="ORD1202"/>
    <x v="154"/>
    <x v="1"/>
    <x v="3"/>
    <s v="Customer 055"/>
    <s v="Online"/>
    <x v="0"/>
    <s v="ProBook 14"/>
    <n v="4"/>
    <n v="891.68"/>
    <n v="0.08"/>
    <n v="3281.38"/>
    <n v="2319.9"/>
    <n v="3334.29"/>
    <n v="850"/>
    <n v="961.48"/>
    <n v="0.29301086737896859"/>
    <n v="-52.909999999999854"/>
    <s v="Below Target"/>
  </r>
  <r>
    <s v="ORD1203"/>
    <x v="145"/>
    <x v="2"/>
    <x v="1"/>
    <s v="Customer 049"/>
    <s v="Online"/>
    <x v="3"/>
    <s v="ColorJet X"/>
    <n v="10"/>
    <n v="433.39"/>
    <n v="0.02"/>
    <n v="4247.22"/>
    <n v="2785.66"/>
    <n v="3776.16"/>
    <n v="420"/>
    <n v="1461.5600000000004"/>
    <n v="0.34412156657766735"/>
    <n v="471.0600000000004"/>
    <s v="Above Target"/>
  </r>
  <r>
    <s v="ORD1204"/>
    <x v="155"/>
    <x v="0"/>
    <x v="0"/>
    <s v="Customer 082"/>
    <s v="Corporate"/>
    <x v="0"/>
    <s v="ProBook 14"/>
    <n v="1"/>
    <n v="854.88"/>
    <n v="0.1"/>
    <n v="769.39"/>
    <n v="539.21"/>
    <n v="851.97"/>
    <n v="850"/>
    <n v="230.17999999999995"/>
    <n v="0.29917207138122404"/>
    <n v="-82.580000000000041"/>
    <s v="Below Target"/>
  </r>
  <r>
    <s v="ORD1205"/>
    <x v="156"/>
    <x v="3"/>
    <x v="1"/>
    <s v="Customer 058"/>
    <s v="Retail"/>
    <x v="3"/>
    <s v="OfficeJet Pro"/>
    <n v="2"/>
    <n v="331.74"/>
    <n v="0.08"/>
    <n v="610.4"/>
    <n v="397.56"/>
    <n v="550.29999999999995"/>
    <n v="340"/>
    <n v="212.83999999999997"/>
    <n v="0.34868938401048488"/>
    <n v="60.100000000000023"/>
    <s v="Above Target"/>
  </r>
  <r>
    <s v="ORD1206"/>
    <x v="157"/>
    <x v="0"/>
    <x v="0"/>
    <s v="Customer 116"/>
    <s v="Online"/>
    <x v="2"/>
    <s v="Monitor 24"/>
    <n v="12"/>
    <n v="213.88"/>
    <n v="0"/>
    <n v="2566.56"/>
    <n v="2071.67"/>
    <n v="2838.31"/>
    <n v="220"/>
    <n v="494.88999999999987"/>
    <n v="0.19282229910853432"/>
    <n v="-271.75"/>
    <s v="Below Target"/>
  </r>
  <r>
    <s v="ORD1207"/>
    <x v="158"/>
    <x v="0"/>
    <x v="5"/>
    <s v="Customer 019"/>
    <s v="Distributor"/>
    <x v="2"/>
    <s v="Monitor 27"/>
    <n v="13"/>
    <n v="320.43"/>
    <n v="0.1"/>
    <n v="3749.03"/>
    <n v="2782.8"/>
    <n v="4185.8"/>
    <n v="320"/>
    <n v="966.23"/>
    <n v="0.25772799897573506"/>
    <n v="-436.77"/>
    <s v="Below Target"/>
  </r>
  <r>
    <s v="ORD1208"/>
    <x v="159"/>
    <x v="0"/>
    <x v="2"/>
    <s v="Customer 042"/>
    <s v="Distributor"/>
    <x v="2"/>
    <s v="Monitor 24"/>
    <n v="11"/>
    <n v="225.46"/>
    <n v="0.08"/>
    <n v="2281.66"/>
    <n v="1665.89"/>
    <n v="2422.88"/>
    <n v="220"/>
    <n v="615.76999999999975"/>
    <n v="0.26987807122884205"/>
    <n v="-141.22000000000025"/>
    <s v="Below Target"/>
  </r>
  <r>
    <s v="ORD1209"/>
    <x v="77"/>
    <x v="2"/>
    <x v="4"/>
    <s v="Customer 115"/>
    <s v="Online"/>
    <x v="1"/>
    <s v="Wireless Mouse"/>
    <n v="2"/>
    <n v="34.56"/>
    <n v="0.05"/>
    <n v="65.66"/>
    <n v="41.83"/>
    <n v="61.54"/>
    <n v="35"/>
    <n v="23.83"/>
    <n v="0.36293024672555591"/>
    <n v="4.1199999999999974"/>
    <s v="Above Target"/>
  </r>
  <r>
    <s v="ORD1210"/>
    <x v="133"/>
    <x v="0"/>
    <x v="0"/>
    <s v="Customer 111"/>
    <s v="Distributor"/>
    <x v="3"/>
    <s v="OfficeJet Pro"/>
    <n v="15"/>
    <n v="329.63"/>
    <n v="0"/>
    <n v="4944.45"/>
    <n v="3137.4"/>
    <n v="5339.42"/>
    <n v="340"/>
    <n v="1807.0499999999997"/>
    <n v="0.36547037587598213"/>
    <n v="-394.97000000000025"/>
    <s v="Below Target"/>
  </r>
  <r>
    <s v="ORD1211"/>
    <x v="143"/>
    <x v="3"/>
    <x v="3"/>
    <s v="Customer 042"/>
    <s v="Retail"/>
    <x v="3"/>
    <s v="ColorJet X"/>
    <n v="8"/>
    <n v="439.23"/>
    <n v="0.05"/>
    <n v="3338.15"/>
    <n v="2621.4299999999998"/>
    <n v="3440.99"/>
    <n v="420"/>
    <n v="716.72000000000025"/>
    <n v="0.21470575019097413"/>
    <n v="-102.83999999999969"/>
    <s v="Below Target"/>
  </r>
  <r>
    <s v="ORD1212"/>
    <x v="105"/>
    <x v="3"/>
    <x v="0"/>
    <s v="Customer 114"/>
    <s v="Retail"/>
    <x v="0"/>
    <s v="UltraBook 15"/>
    <n v="11"/>
    <n v="1085.26"/>
    <n v="0.03"/>
    <n v="11579.72"/>
    <n v="7512.5"/>
    <n v="10347.799999999999"/>
    <n v="1100"/>
    <n v="4067.2199999999993"/>
    <n v="0.35123647203904756"/>
    <n v="1231.92"/>
    <s v="Above Target"/>
  </r>
  <r>
    <s v="ORD1213"/>
    <x v="160"/>
    <x v="1"/>
    <x v="3"/>
    <s v="Customer 103"/>
    <s v="Retail"/>
    <x v="0"/>
    <s v="Business 13"/>
    <n v="5"/>
    <n v="942.23"/>
    <n v="0.02"/>
    <n v="4616.93"/>
    <n v="2928.29"/>
    <n v="4363.3"/>
    <n v="950"/>
    <n v="1688.6400000000003"/>
    <n v="0.36574953486407641"/>
    <n v="253.63000000000011"/>
    <s v="Above Target"/>
  </r>
  <r>
    <s v="ORD1214"/>
    <x v="36"/>
    <x v="0"/>
    <x v="4"/>
    <s v="Customer 115"/>
    <s v="Retail"/>
    <x v="1"/>
    <s v="Mechanical Keyboard"/>
    <n v="2"/>
    <n v="83.45"/>
    <n v="0.05"/>
    <n v="158.56"/>
    <n v="99.12"/>
    <n v="176.77"/>
    <n v="85"/>
    <n v="59.44"/>
    <n v="0.37487386478304741"/>
    <n v="-18.210000000000008"/>
    <s v="Below Target"/>
  </r>
  <r>
    <s v="ORD1215"/>
    <x v="161"/>
    <x v="3"/>
    <x v="3"/>
    <s v="Customer 031"/>
    <s v="Retail"/>
    <x v="1"/>
    <s v="Mechanical Keyboard"/>
    <n v="14"/>
    <n v="83.18"/>
    <n v="0.03"/>
    <n v="1129.58"/>
    <n v="865.33"/>
    <n v="1257.19"/>
    <n v="85"/>
    <n v="264.24999999999989"/>
    <n v="0.23393650737442226"/>
    <n v="-127.61000000000013"/>
    <s v="Below Target"/>
  </r>
  <r>
    <s v="ORD1216"/>
    <x v="162"/>
    <x v="1"/>
    <x v="1"/>
    <s v="Customer 082"/>
    <s v="Online"/>
    <x v="1"/>
    <s v="Wireless Mouse"/>
    <n v="5"/>
    <n v="34.700000000000003"/>
    <n v="0.02"/>
    <n v="170.03"/>
    <n v="104.17"/>
    <n v="179.27"/>
    <n v="35"/>
    <n v="65.86"/>
    <n v="0.38734340998647299"/>
    <n v="-9.2400000000000091"/>
    <s v="Below Target"/>
  </r>
  <r>
    <s v="ORD1217"/>
    <x v="163"/>
    <x v="1"/>
    <x v="1"/>
    <s v="Customer 047"/>
    <s v="Corporate"/>
    <x v="3"/>
    <s v="ColorJet X"/>
    <n v="9"/>
    <n v="413.32"/>
    <n v="0.02"/>
    <n v="3645.48"/>
    <n v="2542.58"/>
    <n v="3898.82"/>
    <n v="420"/>
    <n v="1102.9000000000001"/>
    <n v="0.30253903464015713"/>
    <n v="-253.34000000000015"/>
    <s v="Below Target"/>
  </r>
  <r>
    <s v="ORD1218"/>
    <x v="164"/>
    <x v="2"/>
    <x v="4"/>
    <s v="Customer 023"/>
    <s v="Retail"/>
    <x v="1"/>
    <s v="Wireless Mouse"/>
    <n v="4"/>
    <n v="34.22"/>
    <n v="0.02"/>
    <n v="134.13999999999999"/>
    <n v="84.56"/>
    <n v="123.84"/>
    <n v="35"/>
    <n v="49.579999999999984"/>
    <n v="0.36961383629044275"/>
    <n v="10.299999999999983"/>
    <s v="Above Target"/>
  </r>
  <r>
    <s v="ORD1219"/>
    <x v="165"/>
    <x v="2"/>
    <x v="1"/>
    <s v="Customer 018"/>
    <s v="Retail"/>
    <x v="0"/>
    <s v="UltraBook 15"/>
    <n v="14"/>
    <n v="1054.6199999999999"/>
    <n v="0.08"/>
    <n v="13583.51"/>
    <n v="10334.16"/>
    <n v="14435.29"/>
    <n v="1100"/>
    <n v="3249.3500000000004"/>
    <n v="0.23921283968576607"/>
    <n v="-851.78000000000065"/>
    <s v="Below Target"/>
  </r>
  <r>
    <s v="ORD1220"/>
    <x v="166"/>
    <x v="0"/>
    <x v="0"/>
    <s v="Customer 104"/>
    <s v="Distributor"/>
    <x v="2"/>
    <s v="Monitor 27"/>
    <n v="4"/>
    <n v="304.32"/>
    <n v="0.1"/>
    <n v="1095.55"/>
    <n v="833.93"/>
    <n v="1071.3900000000001"/>
    <n v="320"/>
    <n v="261.62"/>
    <n v="0.23880242800419882"/>
    <n v="24.159999999999854"/>
    <s v="Above Target"/>
  </r>
  <r>
    <s v="ORD1221"/>
    <x v="167"/>
    <x v="3"/>
    <x v="1"/>
    <s v="Customer 112"/>
    <s v="Distributor"/>
    <x v="2"/>
    <s v="Monitor 27"/>
    <n v="14"/>
    <n v="324.45"/>
    <n v="0.05"/>
    <n v="4315.1899999999996"/>
    <n v="2674.87"/>
    <n v="4221.4799999999996"/>
    <n v="320"/>
    <n v="1640.3199999999997"/>
    <n v="0.38012694690152687"/>
    <n v="93.710000000000036"/>
    <s v="Above Target"/>
  </r>
  <r>
    <s v="ORD1222"/>
    <x v="29"/>
    <x v="0"/>
    <x v="3"/>
    <s v="Customer 067"/>
    <s v="Corporate"/>
    <x v="0"/>
    <s v="Business 13"/>
    <n v="10"/>
    <n v="981.5"/>
    <n v="0.03"/>
    <n v="9520.5499999999993"/>
    <n v="5789.14"/>
    <n v="9982.69"/>
    <n v="950"/>
    <n v="3731.4099999999989"/>
    <n v="0.39193218879161384"/>
    <n v="-462.14000000000124"/>
    <s v="Below Target"/>
  </r>
  <r>
    <s v="ORD1223"/>
    <x v="18"/>
    <x v="1"/>
    <x v="4"/>
    <s v="Customer 112"/>
    <s v="Corporate"/>
    <x v="0"/>
    <s v="UltraBook 15"/>
    <n v="2"/>
    <n v="1084.24"/>
    <n v="0.02"/>
    <n v="2125.11"/>
    <n v="1656.82"/>
    <n v="2311.5100000000002"/>
    <n v="1100"/>
    <n v="468.29000000000019"/>
    <n v="0.22036035781677191"/>
    <n v="-186.40000000000009"/>
    <s v="Below Target"/>
  </r>
  <r>
    <s v="ORD1224"/>
    <x v="2"/>
    <x v="0"/>
    <x v="0"/>
    <s v="Customer 103"/>
    <s v="Retail"/>
    <x v="3"/>
    <s v="ColorJet X"/>
    <n v="15"/>
    <n v="401.57"/>
    <n v="0"/>
    <n v="6023.55"/>
    <n v="4878.42"/>
    <n v="6016.04"/>
    <n v="420"/>
    <n v="1145.1300000000001"/>
    <n v="0.19010882287023434"/>
    <n v="7.5100000000002183"/>
    <s v="Above Target"/>
  </r>
  <r>
    <s v="ORD1225"/>
    <x v="168"/>
    <x v="0"/>
    <x v="5"/>
    <s v="Customer 013"/>
    <s v="Retail"/>
    <x v="2"/>
    <s v="Monitor 24"/>
    <n v="2"/>
    <n v="213.92"/>
    <n v="0.02"/>
    <n v="419.28"/>
    <n v="267.05"/>
    <n v="400.35"/>
    <n v="220"/>
    <n v="152.22999999999996"/>
    <n v="0.36307479488647199"/>
    <n v="18.92999999999995"/>
    <s v="Above Target"/>
  </r>
  <r>
    <s v="ORD1226"/>
    <x v="36"/>
    <x v="3"/>
    <x v="5"/>
    <s v="Customer 045"/>
    <s v="Online"/>
    <x v="0"/>
    <s v="ProBook 14"/>
    <n v="14"/>
    <n v="858.45"/>
    <n v="0.08"/>
    <n v="11056.84"/>
    <n v="7762.64"/>
    <n v="10362.56"/>
    <n v="850"/>
    <n v="3294.2"/>
    <n v="0.29793322504440689"/>
    <n v="694.28000000000065"/>
    <s v="Above Target"/>
  </r>
  <r>
    <s v="ORD1227"/>
    <x v="169"/>
    <x v="0"/>
    <x v="5"/>
    <s v="Customer 016"/>
    <s v="Corporate"/>
    <x v="0"/>
    <s v="ProBook 14"/>
    <n v="5"/>
    <n v="817.96"/>
    <n v="0.05"/>
    <n v="3885.31"/>
    <n v="2832"/>
    <n v="4129.16"/>
    <n v="850"/>
    <n v="1053.31"/>
    <n v="0.27110063289673153"/>
    <n v="-243.84999999999991"/>
    <s v="Below Target"/>
  </r>
  <r>
    <s v="ORD1228"/>
    <x v="170"/>
    <x v="3"/>
    <x v="1"/>
    <s v="Customer 106"/>
    <s v="Online"/>
    <x v="1"/>
    <s v="USB-C Hub"/>
    <n v="10"/>
    <n v="58.36"/>
    <n v="0.02"/>
    <n v="571.92999999999995"/>
    <n v="361.68"/>
    <n v="581.92999999999995"/>
    <n v="60"/>
    <n v="210.24999999999994"/>
    <n v="0.36761491790953432"/>
    <n v="-10"/>
    <s v="Below Target"/>
  </r>
  <r>
    <s v="ORD1229"/>
    <x v="106"/>
    <x v="0"/>
    <x v="3"/>
    <s v="Customer 044"/>
    <s v="Corporate"/>
    <x v="1"/>
    <s v="Wireless Mouse"/>
    <n v="12"/>
    <n v="34.72"/>
    <n v="0.08"/>
    <n v="383.31"/>
    <n v="274.31"/>
    <n v="373.71"/>
    <n v="35"/>
    <n v="109"/>
    <n v="0.28436513526910334"/>
    <n v="9.6000000000000227"/>
    <s v="Above Target"/>
  </r>
  <r>
    <s v="ORD1230"/>
    <x v="171"/>
    <x v="3"/>
    <x v="0"/>
    <s v="Customer 007"/>
    <s v="Distributor"/>
    <x v="2"/>
    <s v="Monitor 32"/>
    <n v="12"/>
    <n v="447.1"/>
    <n v="0.08"/>
    <n v="4935.9799999999996"/>
    <n v="3835.08"/>
    <n v="5424.96"/>
    <n v="450"/>
    <n v="1100.8999999999996"/>
    <n v="0.22303574973966664"/>
    <n v="-488.98000000000047"/>
    <s v="Below Target"/>
  </r>
  <r>
    <s v="ORD1231"/>
    <x v="18"/>
    <x v="0"/>
    <x v="3"/>
    <s v="Customer 014"/>
    <s v="Retail"/>
    <x v="0"/>
    <s v="Business 13"/>
    <n v="11"/>
    <n v="991.26"/>
    <n v="0.02"/>
    <n v="10685.78"/>
    <n v="8457.89"/>
    <n v="11104.11"/>
    <n v="950"/>
    <n v="2227.8900000000012"/>
    <n v="0.20849109751464107"/>
    <n v="-418.32999999999993"/>
    <s v="Below Target"/>
  </r>
  <r>
    <s v="ORD1232"/>
    <x v="172"/>
    <x v="3"/>
    <x v="2"/>
    <s v="Customer 082"/>
    <s v="Online"/>
    <x v="2"/>
    <s v="Monitor 32"/>
    <n v="7"/>
    <n v="436.54"/>
    <n v="0.1"/>
    <n v="2750.2"/>
    <n v="1662.72"/>
    <n v="2512.19"/>
    <n v="450"/>
    <n v="1087.4799999999998"/>
    <n v="0.39541851501708963"/>
    <n v="238.00999999999976"/>
    <s v="Above Target"/>
  </r>
  <r>
    <s v="ORD1233"/>
    <x v="164"/>
    <x v="0"/>
    <x v="0"/>
    <s v="Customer 013"/>
    <s v="Distributor"/>
    <x v="0"/>
    <s v="ProBook 14"/>
    <n v="14"/>
    <n v="862.03"/>
    <n v="0.03"/>
    <n v="11706.37"/>
    <n v="9387.86"/>
    <n v="12053.26"/>
    <n v="850"/>
    <n v="2318.5100000000002"/>
    <n v="0.19805541769139368"/>
    <n v="-346.88999999999942"/>
    <s v="Below Target"/>
  </r>
  <r>
    <s v="ORD1234"/>
    <x v="31"/>
    <x v="2"/>
    <x v="5"/>
    <s v="Customer 008"/>
    <s v="Distributor"/>
    <x v="1"/>
    <s v="USB-C Hub"/>
    <n v="1"/>
    <n v="59.6"/>
    <n v="0"/>
    <n v="59.6"/>
    <n v="39.53"/>
    <n v="56.82"/>
    <n v="60"/>
    <n v="20.07"/>
    <n v="0.33674496644295304"/>
    <n v="2.7800000000000011"/>
    <s v="Above Target"/>
  </r>
  <r>
    <s v="ORD1235"/>
    <x v="173"/>
    <x v="1"/>
    <x v="2"/>
    <s v="Customer 074"/>
    <s v="Distributor"/>
    <x v="1"/>
    <s v="Mechanical Keyboard"/>
    <n v="10"/>
    <n v="85.29"/>
    <n v="0.02"/>
    <n v="835.84"/>
    <n v="582.41"/>
    <n v="838.17"/>
    <n v="85"/>
    <n v="253.43000000000006"/>
    <n v="0.30320396248085763"/>
    <n v="-2.3299999999999272"/>
    <s v="Below Target"/>
  </r>
  <r>
    <s v="ORD1236"/>
    <x v="130"/>
    <x v="2"/>
    <x v="4"/>
    <s v="Customer 050"/>
    <s v="Retail"/>
    <x v="2"/>
    <s v="Monitor 24"/>
    <n v="12"/>
    <n v="210.93"/>
    <n v="0.08"/>
    <n v="2328.67"/>
    <n v="1544.32"/>
    <n v="2303.04"/>
    <n v="220"/>
    <n v="784.35000000000014"/>
    <n v="0.33682316515435856"/>
    <n v="25.630000000000109"/>
    <s v="Above Target"/>
  </r>
  <r>
    <s v="ORD1237"/>
    <x v="44"/>
    <x v="1"/>
    <x v="5"/>
    <s v="Customer 032"/>
    <s v="Distributor"/>
    <x v="3"/>
    <s v="OfficeJet Pro"/>
    <n v="6"/>
    <n v="338.67"/>
    <n v="0.08"/>
    <n v="1869.46"/>
    <n v="1246.58"/>
    <n v="1859.52"/>
    <n v="340"/>
    <n v="622.88000000000011"/>
    <n v="0.33318712355439545"/>
    <n v="9.9400000000000546"/>
    <s v="Above Target"/>
  </r>
  <r>
    <s v="ORD1238"/>
    <x v="174"/>
    <x v="2"/>
    <x v="1"/>
    <s v="Customer 042"/>
    <s v="Distributor"/>
    <x v="2"/>
    <s v="Monitor 24"/>
    <n v="9"/>
    <n v="221.01"/>
    <n v="0.08"/>
    <n v="1829.96"/>
    <n v="1257.5899999999999"/>
    <n v="2016.26"/>
    <n v="220"/>
    <n v="572.37000000000012"/>
    <n v="0.31277732846619605"/>
    <n v="-186.29999999999995"/>
    <s v="Below Target"/>
  </r>
  <r>
    <s v="ORD1239"/>
    <x v="118"/>
    <x v="2"/>
    <x v="0"/>
    <s v="Customer 009"/>
    <s v="Distributor"/>
    <x v="2"/>
    <s v="Monitor 27"/>
    <n v="5"/>
    <n v="332.11"/>
    <n v="0.02"/>
    <n v="1627.34"/>
    <n v="1082.2"/>
    <n v="1733.62"/>
    <n v="320"/>
    <n v="545.13999999999987"/>
    <n v="0.33498838595499397"/>
    <n v="-106.27999999999997"/>
    <s v="Below Target"/>
  </r>
  <r>
    <s v="ORD1240"/>
    <x v="175"/>
    <x v="2"/>
    <x v="4"/>
    <s v="Customer 095"/>
    <s v="Retail"/>
    <x v="3"/>
    <s v="LaserJet M200"/>
    <n v="1"/>
    <n v="260.44"/>
    <n v="0.05"/>
    <n v="247.42"/>
    <n v="167.73"/>
    <n v="263.02999999999997"/>
    <n v="260"/>
    <n v="79.69"/>
    <n v="0.32208390590898067"/>
    <n v="-15.609999999999985"/>
    <s v="Below Target"/>
  </r>
  <r>
    <s v="ORD1241"/>
    <x v="101"/>
    <x v="1"/>
    <x v="0"/>
    <s v="Customer 013"/>
    <s v="Corporate"/>
    <x v="2"/>
    <s v="Monitor 32"/>
    <n v="11"/>
    <n v="443.36"/>
    <n v="0.1"/>
    <n v="4389.26"/>
    <n v="2829.09"/>
    <n v="4505.93"/>
    <n v="450"/>
    <n v="1560.17"/>
    <n v="0.35545171623462724"/>
    <n v="-116.67000000000007"/>
    <s v="Below Target"/>
  </r>
  <r>
    <s v="ORD1242"/>
    <x v="37"/>
    <x v="0"/>
    <x v="2"/>
    <s v="Customer 099"/>
    <s v="Online"/>
    <x v="3"/>
    <s v="ColorJet X"/>
    <n v="11"/>
    <n v="428.76"/>
    <n v="0.1"/>
    <n v="4244.72"/>
    <n v="2665.68"/>
    <n v="4622.49"/>
    <n v="420"/>
    <n v="1579.0400000000004"/>
    <n v="0.37200098004108639"/>
    <n v="-377.76999999999953"/>
    <s v="Below Target"/>
  </r>
  <r>
    <s v="ORD1243"/>
    <x v="176"/>
    <x v="3"/>
    <x v="2"/>
    <s v="Customer 089"/>
    <s v="Corporate"/>
    <x v="1"/>
    <s v="Wireless Mouse"/>
    <n v="10"/>
    <n v="33.770000000000003"/>
    <n v="0.03"/>
    <n v="327.57"/>
    <n v="259.44"/>
    <n v="336.01"/>
    <n v="35"/>
    <n v="68.13"/>
    <n v="0.20798607931129223"/>
    <n v="-8.4399999999999977"/>
    <s v="Below Target"/>
  </r>
  <r>
    <s v="ORD1244"/>
    <x v="177"/>
    <x v="1"/>
    <x v="5"/>
    <s v="Customer 101"/>
    <s v="Corporate"/>
    <x v="3"/>
    <s v="OfficeJet Pro"/>
    <n v="6"/>
    <n v="332.96"/>
    <n v="0.05"/>
    <n v="1897.87"/>
    <n v="1358.39"/>
    <n v="1941.33"/>
    <n v="340"/>
    <n v="539.47999999999979"/>
    <n v="0.28425550748997552"/>
    <n v="-43.460000000000036"/>
    <s v="Below Target"/>
  </r>
  <r>
    <s v="ORD1245"/>
    <x v="178"/>
    <x v="3"/>
    <x v="0"/>
    <s v="Customer 030"/>
    <s v="Online"/>
    <x v="1"/>
    <s v="Mechanical Keyboard"/>
    <n v="5"/>
    <n v="82.32"/>
    <n v="0.03"/>
    <n v="399.25"/>
    <n v="310.08"/>
    <n v="393.08"/>
    <n v="85"/>
    <n v="89.170000000000016"/>
    <n v="0.22334376956793991"/>
    <n v="6.1700000000000159"/>
    <s v="Above Target"/>
  </r>
  <r>
    <s v="ORD1246"/>
    <x v="52"/>
    <x v="3"/>
    <x v="5"/>
    <s v="Customer 004"/>
    <s v="Online"/>
    <x v="2"/>
    <s v="Monitor 32"/>
    <n v="14"/>
    <n v="454.86"/>
    <n v="0.02"/>
    <n v="6240.68"/>
    <n v="5060.74"/>
    <n v="5797.81"/>
    <n v="450"/>
    <n v="1179.9400000000005"/>
    <n v="0.18907234468038747"/>
    <n v="442.86999999999989"/>
    <s v="Above Target"/>
  </r>
  <r>
    <s v="ORD1247"/>
    <x v="77"/>
    <x v="3"/>
    <x v="0"/>
    <s v="Customer 106"/>
    <s v="Corporate"/>
    <x v="1"/>
    <s v="Webcam HD"/>
    <n v="15"/>
    <n v="74.98"/>
    <n v="0.08"/>
    <n v="1034.72"/>
    <n v="796.91"/>
    <n v="1044.28"/>
    <n v="75"/>
    <n v="237.81000000000006"/>
    <n v="0.22983029225297671"/>
    <n v="-9.5599999999999454"/>
    <s v="Below Target"/>
  </r>
  <r>
    <s v="ORD1248"/>
    <x v="94"/>
    <x v="0"/>
    <x v="0"/>
    <s v="Customer 030"/>
    <s v="Online"/>
    <x v="1"/>
    <s v="Mechanical Keyboard"/>
    <n v="6"/>
    <n v="81.099999999999994"/>
    <n v="0.1"/>
    <n v="437.94"/>
    <n v="296.58999999999997"/>
    <n v="485.02"/>
    <n v="85"/>
    <n v="141.35000000000002"/>
    <n v="0.32276110882769332"/>
    <n v="-47.079999999999984"/>
    <s v="Below Target"/>
  </r>
  <r>
    <s v="ORD1249"/>
    <x v="85"/>
    <x v="2"/>
    <x v="2"/>
    <s v="Customer 063"/>
    <s v="Corporate"/>
    <x v="2"/>
    <s v="Monitor 32"/>
    <n v="9"/>
    <n v="445.54"/>
    <n v="0.08"/>
    <n v="3689.07"/>
    <n v="2966.94"/>
    <n v="3382.92"/>
    <n v="450"/>
    <n v="722.13000000000011"/>
    <n v="0.19574852198521581"/>
    <n v="306.15000000000009"/>
    <s v="Above Target"/>
  </r>
  <r>
    <s v="ORD1250"/>
    <x v="175"/>
    <x v="0"/>
    <x v="1"/>
    <s v="Customer 047"/>
    <s v="Distributor"/>
    <x v="3"/>
    <s v="ColorJet X"/>
    <n v="10"/>
    <n v="436.76"/>
    <n v="0.08"/>
    <n v="4018.19"/>
    <n v="2714.37"/>
    <n v="4047.25"/>
    <n v="420"/>
    <n v="1303.8200000000002"/>
    <n v="0.32447942979301631"/>
    <n v="-29.059999999999945"/>
    <s v="Below Target"/>
  </r>
  <r>
    <s v="ORD1251"/>
    <x v="95"/>
    <x v="1"/>
    <x v="0"/>
    <s v="Customer 114"/>
    <s v="Corporate"/>
    <x v="0"/>
    <s v="UltraBook 15"/>
    <n v="14"/>
    <n v="1079.17"/>
    <n v="0.02"/>
    <n v="14806.21"/>
    <n v="9243.7000000000007"/>
    <n v="16208.1"/>
    <n v="1100"/>
    <n v="5562.5099999999984"/>
    <n v="0.37568763376988429"/>
    <n v="-1401.8900000000012"/>
    <s v="Below Target"/>
  </r>
  <r>
    <s v="ORD1252"/>
    <x v="179"/>
    <x v="3"/>
    <x v="1"/>
    <s v="Customer 008"/>
    <s v="Online"/>
    <x v="0"/>
    <s v="Business 13"/>
    <n v="9"/>
    <n v="930.04"/>
    <n v="0.08"/>
    <n v="7700.73"/>
    <n v="4972.47"/>
    <n v="8427.32"/>
    <n v="950"/>
    <n v="2728.2599999999993"/>
    <n v="0.35428589237643698"/>
    <n v="-726.59000000000015"/>
    <s v="Below Target"/>
  </r>
  <r>
    <s v="ORD1253"/>
    <x v="180"/>
    <x v="0"/>
    <x v="3"/>
    <s v="Customer 091"/>
    <s v="Online"/>
    <x v="1"/>
    <s v="Webcam HD"/>
    <n v="11"/>
    <n v="76.02"/>
    <n v="0"/>
    <n v="836.22"/>
    <n v="628.99"/>
    <n v="738.03"/>
    <n v="75"/>
    <n v="207.23000000000002"/>
    <n v="0.24781755997225613"/>
    <n v="98.190000000000055"/>
    <s v="Above Target"/>
  </r>
  <r>
    <s v="ORD1254"/>
    <x v="181"/>
    <x v="3"/>
    <x v="0"/>
    <s v="Customer 073"/>
    <s v="Distributor"/>
    <x v="1"/>
    <s v="Wireless Mouse"/>
    <n v="14"/>
    <n v="33.590000000000003"/>
    <n v="0"/>
    <n v="470.26"/>
    <n v="351.28"/>
    <n v="436.02"/>
    <n v="35"/>
    <n v="118.98000000000002"/>
    <n v="0.25300897375919706"/>
    <n v="34.240000000000009"/>
    <s v="Above Target"/>
  </r>
  <r>
    <s v="ORD1255"/>
    <x v="182"/>
    <x v="2"/>
    <x v="1"/>
    <s v="Customer 067"/>
    <s v="Online"/>
    <x v="1"/>
    <s v="USB-C Hub"/>
    <n v="9"/>
    <n v="62.98"/>
    <n v="0.08"/>
    <n v="521.47"/>
    <n v="335.66"/>
    <n v="534.20000000000005"/>
    <n v="60"/>
    <n v="185.81"/>
    <n v="0.35631963487832474"/>
    <n v="-12.730000000000018"/>
    <s v="Below Target"/>
  </r>
  <r>
    <s v="ORD1256"/>
    <x v="155"/>
    <x v="3"/>
    <x v="5"/>
    <s v="Customer 084"/>
    <s v="Online"/>
    <x v="0"/>
    <s v="UltraBook 15"/>
    <n v="2"/>
    <n v="1063.76"/>
    <n v="0.08"/>
    <n v="1957.32"/>
    <n v="1385.57"/>
    <n v="1942.06"/>
    <n v="1100"/>
    <n v="571.75"/>
    <n v="0.29210859747001"/>
    <n v="15.259999999999991"/>
    <s v="Above Target"/>
  </r>
  <r>
    <s v="ORD1257"/>
    <x v="183"/>
    <x v="0"/>
    <x v="3"/>
    <s v="Customer 081"/>
    <s v="Online"/>
    <x v="3"/>
    <s v="ColorJet X"/>
    <n v="10"/>
    <n v="412.56"/>
    <n v="0.1"/>
    <n v="3713.04"/>
    <n v="2422.4499999999998"/>
    <n v="3512.93"/>
    <n v="420"/>
    <n v="1290.5900000000001"/>
    <n v="0.34758311249003515"/>
    <n v="200.11000000000013"/>
    <s v="Above Target"/>
  </r>
  <r>
    <s v="ORD1258"/>
    <x v="166"/>
    <x v="3"/>
    <x v="0"/>
    <s v="Customer 098"/>
    <s v="Online"/>
    <x v="0"/>
    <s v="UltraBook 15"/>
    <n v="6"/>
    <n v="1066.08"/>
    <n v="0.08"/>
    <n v="5884.76"/>
    <n v="4030.15"/>
    <n v="5255.81"/>
    <n v="1100"/>
    <n v="1854.6100000000001"/>
    <n v="0.31515473868093175"/>
    <n v="628.94999999999982"/>
    <s v="Above Target"/>
  </r>
  <r>
    <s v="ORD1259"/>
    <x v="175"/>
    <x v="2"/>
    <x v="3"/>
    <s v="Customer 001"/>
    <s v="Corporate"/>
    <x v="0"/>
    <s v="ProBook 14"/>
    <n v="10"/>
    <n v="827.75"/>
    <n v="0.02"/>
    <n v="8111.95"/>
    <n v="4945.66"/>
    <n v="8950.7099999999991"/>
    <n v="850"/>
    <n v="3166.29"/>
    <n v="0.39032415140625865"/>
    <n v="-838.75999999999931"/>
    <s v="Below Target"/>
  </r>
  <r>
    <s v="ORD1260"/>
    <x v="181"/>
    <x v="3"/>
    <x v="4"/>
    <s v="Customer 092"/>
    <s v="Retail"/>
    <x v="1"/>
    <s v="Wireless Mouse"/>
    <n v="10"/>
    <n v="34.130000000000003"/>
    <n v="0.05"/>
    <n v="324.24"/>
    <n v="264.42"/>
    <n v="290.58999999999997"/>
    <n v="35"/>
    <n v="59.819999999999993"/>
    <n v="0.18449296817172461"/>
    <n v="33.650000000000034"/>
    <s v="Above Target"/>
  </r>
  <r>
    <s v="ORD1261"/>
    <x v="184"/>
    <x v="0"/>
    <x v="1"/>
    <s v="Customer 022"/>
    <s v="Distributor"/>
    <x v="2"/>
    <s v="Monitor 27"/>
    <n v="7"/>
    <n v="332.01"/>
    <n v="0.05"/>
    <n v="2207.87"/>
    <n v="1335.62"/>
    <n v="2402.98"/>
    <n v="320"/>
    <n v="872.25"/>
    <n v="0.39506402097949611"/>
    <n v="-195.11000000000013"/>
    <s v="Below Target"/>
  </r>
  <r>
    <s v="ORD1262"/>
    <x v="178"/>
    <x v="1"/>
    <x v="0"/>
    <s v="Customer 112"/>
    <s v="Corporate"/>
    <x v="0"/>
    <s v="Business 13"/>
    <n v="1"/>
    <n v="994.8"/>
    <n v="0.03"/>
    <n v="964.96"/>
    <n v="663.05"/>
    <n v="933.22"/>
    <n v="950"/>
    <n v="301.91000000000008"/>
    <n v="0.31287307245896212"/>
    <n v="31.740000000000009"/>
    <s v="Above Target"/>
  </r>
  <r>
    <s v="ORD1263"/>
    <x v="167"/>
    <x v="2"/>
    <x v="2"/>
    <s v="Customer 025"/>
    <s v="Corporate"/>
    <x v="1"/>
    <s v="Wireless Mouse"/>
    <n v="11"/>
    <n v="33.479999999999997"/>
    <n v="0"/>
    <n v="368.28"/>
    <n v="255.18"/>
    <n v="404.78"/>
    <n v="35"/>
    <n v="113.09999999999997"/>
    <n v="0.30710329097425865"/>
    <n v="-36.5"/>
    <s v="Below Target"/>
  </r>
  <r>
    <s v="ORD1264"/>
    <x v="185"/>
    <x v="2"/>
    <x v="1"/>
    <s v="Customer 091"/>
    <s v="Retail"/>
    <x v="2"/>
    <s v="Monitor 32"/>
    <n v="4"/>
    <n v="447.1"/>
    <n v="0.03"/>
    <n v="1734.75"/>
    <n v="1294.3699999999999"/>
    <n v="1668.73"/>
    <n v="450"/>
    <n v="440.38000000000011"/>
    <n v="0.25385790459720425"/>
    <n v="66.019999999999982"/>
    <s v="Above Target"/>
  </r>
  <r>
    <s v="ORD1265"/>
    <x v="152"/>
    <x v="2"/>
    <x v="1"/>
    <s v="Customer 048"/>
    <s v="Distributor"/>
    <x v="2"/>
    <s v="Monitor 24"/>
    <n v="5"/>
    <n v="220.99"/>
    <n v="0.02"/>
    <n v="1082.8499999999999"/>
    <n v="781.92"/>
    <n v="1074.29"/>
    <n v="220"/>
    <n v="300.92999999999995"/>
    <n v="0.27790552708131316"/>
    <n v="8.5599999999999454"/>
    <s v="Above Target"/>
  </r>
  <r>
    <s v="ORD1266"/>
    <x v="186"/>
    <x v="2"/>
    <x v="1"/>
    <s v="Customer 110"/>
    <s v="Corporate"/>
    <x v="3"/>
    <s v="OfficeJet Pro"/>
    <n v="7"/>
    <n v="335.81"/>
    <n v="0.08"/>
    <n v="2162.62"/>
    <n v="1396.56"/>
    <n v="2396.67"/>
    <n v="340"/>
    <n v="766.06"/>
    <n v="0.35422774227557313"/>
    <n v="-234.05000000000018"/>
    <s v="Below Target"/>
  </r>
  <r>
    <s v="ORD1267"/>
    <x v="187"/>
    <x v="1"/>
    <x v="0"/>
    <s v="Customer 032"/>
    <s v="Corporate"/>
    <x v="0"/>
    <s v="Business 13"/>
    <n v="12"/>
    <n v="997.3"/>
    <n v="0.08"/>
    <n v="11010.19"/>
    <n v="8785.2000000000007"/>
    <n v="11241.57"/>
    <n v="950"/>
    <n v="2224.9899999999998"/>
    <n v="0.20208461434362165"/>
    <n v="-231.3799999999992"/>
    <s v="Below Target"/>
  </r>
  <r>
    <s v="ORD1268"/>
    <x v="90"/>
    <x v="1"/>
    <x v="4"/>
    <s v="Customer 099"/>
    <s v="Corporate"/>
    <x v="1"/>
    <s v="USB-C Hub"/>
    <n v="4"/>
    <n v="57.75"/>
    <n v="0"/>
    <n v="231"/>
    <n v="173.05"/>
    <n v="208.35"/>
    <n v="60"/>
    <n v="57.949999999999989"/>
    <n v="0.25086580086580079"/>
    <n v="22.650000000000006"/>
    <s v="Above Target"/>
  </r>
  <r>
    <s v="ORD1269"/>
    <x v="155"/>
    <x v="2"/>
    <x v="1"/>
    <s v="Customer 042"/>
    <s v="Retail"/>
    <x v="3"/>
    <s v="LaserJet M200"/>
    <n v="12"/>
    <n v="261.76"/>
    <n v="0.03"/>
    <n v="3046.89"/>
    <n v="1838.19"/>
    <n v="3200.97"/>
    <n v="260"/>
    <n v="1208.6999999999998"/>
    <n v="0.39669958547896378"/>
    <n v="-154.07999999999993"/>
    <s v="Below Target"/>
  </r>
  <r>
    <s v="ORD1270"/>
    <x v="188"/>
    <x v="2"/>
    <x v="5"/>
    <s v="Customer 092"/>
    <s v="Distributor"/>
    <x v="0"/>
    <s v="UltraBook 15"/>
    <n v="2"/>
    <n v="1106.82"/>
    <n v="0.03"/>
    <n v="2147.23"/>
    <n v="1668.7"/>
    <n v="2280.42"/>
    <n v="1100"/>
    <n v="478.53"/>
    <n v="0.22285921862120031"/>
    <n v="-133.19000000000005"/>
    <s v="Below Target"/>
  </r>
  <r>
    <s v="ORD1271"/>
    <x v="88"/>
    <x v="3"/>
    <x v="4"/>
    <s v="Customer 113"/>
    <s v="Retail"/>
    <x v="2"/>
    <s v="Monitor 24"/>
    <n v="5"/>
    <n v="211.77"/>
    <n v="0.1"/>
    <n v="952.97"/>
    <n v="655.43"/>
    <n v="920.01"/>
    <n v="220"/>
    <n v="297.54000000000008"/>
    <n v="0.31222388952432928"/>
    <n v="32.960000000000036"/>
    <s v="Above Target"/>
  </r>
  <r>
    <s v="ORD1272"/>
    <x v="78"/>
    <x v="0"/>
    <x v="4"/>
    <s v="Customer 091"/>
    <s v="Corporate"/>
    <x v="0"/>
    <s v="Business 13"/>
    <n v="1"/>
    <n v="937.33"/>
    <n v="0.1"/>
    <n v="843.6"/>
    <n v="634.4"/>
    <n v="923.97"/>
    <n v="950"/>
    <n v="209.20000000000005"/>
    <n v="0.2479848269321954"/>
    <n v="-80.37"/>
    <s v="Below Target"/>
  </r>
  <r>
    <s v="ORD1273"/>
    <x v="29"/>
    <x v="2"/>
    <x v="4"/>
    <s v="Customer 087"/>
    <s v="Online"/>
    <x v="1"/>
    <s v="Wireless Mouse"/>
    <n v="6"/>
    <n v="36.42"/>
    <n v="0"/>
    <n v="218.52"/>
    <n v="139.85"/>
    <n v="198.34"/>
    <n v="35"/>
    <n v="78.670000000000016"/>
    <n v="0.36001281347245107"/>
    <n v="20.180000000000007"/>
    <s v="Above Target"/>
  </r>
  <r>
    <s v="ORD1274"/>
    <x v="60"/>
    <x v="0"/>
    <x v="0"/>
    <s v="Customer 040"/>
    <s v="Retail"/>
    <x v="0"/>
    <s v="ProBook 14"/>
    <n v="10"/>
    <n v="821.27"/>
    <n v="0.02"/>
    <n v="8048.45"/>
    <n v="6169.39"/>
    <n v="7384.34"/>
    <n v="850"/>
    <n v="1879.0599999999995"/>
    <n v="0.23346855605737746"/>
    <n v="664.10999999999967"/>
    <s v="Above Target"/>
  </r>
  <r>
    <s v="ORD1275"/>
    <x v="144"/>
    <x v="1"/>
    <x v="5"/>
    <s v="Customer 015"/>
    <s v="Distributor"/>
    <x v="2"/>
    <s v="Monitor 24"/>
    <n v="10"/>
    <n v="219.95"/>
    <n v="0.08"/>
    <n v="2023.54"/>
    <n v="1327.52"/>
    <n v="1991.94"/>
    <n v="220"/>
    <n v="696.02"/>
    <n v="0.34396157229409846"/>
    <n v="31.599999999999909"/>
    <s v="Above Target"/>
  </r>
  <r>
    <s v="ORD1276"/>
    <x v="111"/>
    <x v="1"/>
    <x v="1"/>
    <s v="Customer 100"/>
    <s v="Distributor"/>
    <x v="1"/>
    <s v="Webcam HD"/>
    <n v="10"/>
    <n v="76.47"/>
    <n v="0.02"/>
    <n v="749.41"/>
    <n v="561.92999999999995"/>
    <n v="666.16"/>
    <n v="75"/>
    <n v="187.48000000000002"/>
    <n v="0.25017013383861975"/>
    <n v="83.25"/>
    <s v="Above Target"/>
  </r>
  <r>
    <s v="ORD1277"/>
    <x v="1"/>
    <x v="0"/>
    <x v="3"/>
    <s v="Customer 055"/>
    <s v="Corporate"/>
    <x v="1"/>
    <s v="Wireless Mouse"/>
    <n v="12"/>
    <n v="35.85"/>
    <n v="0.1"/>
    <n v="387.18"/>
    <n v="284.72000000000003"/>
    <n v="361.24"/>
    <n v="35"/>
    <n v="102.45999999999998"/>
    <n v="0.26463143757425484"/>
    <n v="25.939999999999998"/>
    <s v="Above Target"/>
  </r>
  <r>
    <s v="ORD1278"/>
    <x v="15"/>
    <x v="2"/>
    <x v="2"/>
    <s v="Customer 087"/>
    <s v="Retail"/>
    <x v="3"/>
    <s v="OfficeJet Pro"/>
    <n v="9"/>
    <n v="348.11"/>
    <n v="0.1"/>
    <n v="2819.69"/>
    <n v="2080.11"/>
    <n v="2825.55"/>
    <n v="340"/>
    <n v="739.57999999999993"/>
    <n v="0.26229124478222782"/>
    <n v="-5.8600000000001273"/>
    <s v="Below Target"/>
  </r>
  <r>
    <s v="ORD1279"/>
    <x v="49"/>
    <x v="2"/>
    <x v="0"/>
    <s v="Customer 021"/>
    <s v="Retail"/>
    <x v="3"/>
    <s v="ColorJet X"/>
    <n v="4"/>
    <n v="400.84"/>
    <n v="0.1"/>
    <n v="1443.02"/>
    <n v="1127.78"/>
    <n v="1463.5"/>
    <n v="420"/>
    <n v="315.24"/>
    <n v="0.2184585106235534"/>
    <n v="-20.480000000000018"/>
    <s v="Below Target"/>
  </r>
  <r>
    <s v="ORD1280"/>
    <x v="26"/>
    <x v="2"/>
    <x v="4"/>
    <s v="Customer 040"/>
    <s v="Retail"/>
    <x v="2"/>
    <s v="Monitor 27"/>
    <n v="4"/>
    <n v="334.84"/>
    <n v="0.02"/>
    <n v="1312.57"/>
    <n v="890.87"/>
    <n v="1284.73"/>
    <n v="320"/>
    <n v="421.69999999999993"/>
    <n v="0.32127810326306405"/>
    <n v="27.839999999999918"/>
    <s v="Above Target"/>
  </r>
  <r>
    <s v="ORD1281"/>
    <x v="189"/>
    <x v="3"/>
    <x v="1"/>
    <s v="Customer 120"/>
    <s v="Distributor"/>
    <x v="3"/>
    <s v="LaserJet M200"/>
    <n v="12"/>
    <n v="259.64999999999998"/>
    <n v="0.05"/>
    <n v="2960.01"/>
    <n v="1930.91"/>
    <n v="2776.52"/>
    <n v="260"/>
    <n v="1029.1000000000001"/>
    <n v="0.3476677443657285"/>
    <n v="183.49000000000024"/>
    <s v="Above Target"/>
  </r>
  <r>
    <s v="ORD1282"/>
    <x v="67"/>
    <x v="0"/>
    <x v="0"/>
    <s v="Customer 055"/>
    <s v="Retail"/>
    <x v="2"/>
    <s v="Monitor 27"/>
    <n v="3"/>
    <n v="332.31"/>
    <n v="0.02"/>
    <n v="976.99"/>
    <n v="712.48"/>
    <n v="916.21"/>
    <n v="320"/>
    <n v="264.51"/>
    <n v="0.27073972097974391"/>
    <n v="60.779999999999973"/>
    <s v="Above Target"/>
  </r>
  <r>
    <s v="ORD1283"/>
    <x v="190"/>
    <x v="2"/>
    <x v="5"/>
    <s v="Customer 089"/>
    <s v="Distributor"/>
    <x v="3"/>
    <s v="LaserJet M200"/>
    <n v="3"/>
    <n v="262.57"/>
    <n v="0.05"/>
    <n v="748.32"/>
    <n v="587.20000000000005"/>
    <n v="731.46"/>
    <n v="260"/>
    <n v="161.12"/>
    <n v="0.21530895873423134"/>
    <n v="16.860000000000014"/>
    <s v="Above Target"/>
  </r>
  <r>
    <s v="ORD1284"/>
    <x v="191"/>
    <x v="0"/>
    <x v="4"/>
    <s v="Customer 040"/>
    <s v="Corporate"/>
    <x v="2"/>
    <s v="Monitor 32"/>
    <n v="8"/>
    <n v="436.79"/>
    <n v="0"/>
    <n v="3494.32"/>
    <n v="2785.25"/>
    <n v="3329.87"/>
    <n v="450"/>
    <n v="709.07000000000016"/>
    <n v="0.20292073994368007"/>
    <n v="164.45000000000027"/>
    <s v="Above Target"/>
  </r>
  <r>
    <s v="ORD1285"/>
    <x v="55"/>
    <x v="0"/>
    <x v="5"/>
    <s v="Customer 002"/>
    <s v="Corporate"/>
    <x v="0"/>
    <s v="Business 13"/>
    <n v="6"/>
    <n v="944.78"/>
    <n v="0.08"/>
    <n v="5215.1899999999996"/>
    <n v="3545.57"/>
    <n v="4799.76"/>
    <n v="950"/>
    <n v="1669.6199999999994"/>
    <n v="0.32014557475374811"/>
    <n v="415.42999999999938"/>
    <s v="Above Target"/>
  </r>
  <r>
    <s v="ORD1286"/>
    <x v="59"/>
    <x v="3"/>
    <x v="2"/>
    <s v="Customer 063"/>
    <s v="Retail"/>
    <x v="0"/>
    <s v="UltraBook 15"/>
    <n v="12"/>
    <n v="1123.8900000000001"/>
    <n v="0.1"/>
    <n v="12138.01"/>
    <n v="8787.9599999999991"/>
    <n v="10998.4"/>
    <n v="1100"/>
    <n v="3350.0500000000011"/>
    <n v="0.27599664195366463"/>
    <n v="1139.6100000000006"/>
    <s v="Above Target"/>
  </r>
  <r>
    <s v="ORD1287"/>
    <x v="26"/>
    <x v="1"/>
    <x v="4"/>
    <s v="Customer 032"/>
    <s v="Online"/>
    <x v="2"/>
    <s v="Monitor 32"/>
    <n v="1"/>
    <n v="443.67"/>
    <n v="0"/>
    <n v="443.67"/>
    <n v="329.11"/>
    <n v="457.27"/>
    <n v="450"/>
    <n v="114.56"/>
    <n v="0.25820993080442672"/>
    <n v="-13.599999999999966"/>
    <s v="Below Target"/>
  </r>
  <r>
    <s v="ORD1288"/>
    <x v="170"/>
    <x v="2"/>
    <x v="4"/>
    <s v="Customer 068"/>
    <s v="Retail"/>
    <x v="3"/>
    <s v="OfficeJet Pro"/>
    <n v="1"/>
    <n v="323.86"/>
    <n v="0.05"/>
    <n v="307.67"/>
    <n v="241.43"/>
    <n v="292.63"/>
    <n v="340"/>
    <n v="66.240000000000009"/>
    <n v="0.21529560893164756"/>
    <n v="15.04000000000002"/>
    <s v="Above Target"/>
  </r>
  <r>
    <s v="ORD1289"/>
    <x v="22"/>
    <x v="1"/>
    <x v="3"/>
    <s v="Customer 030"/>
    <s v="Distributor"/>
    <x v="3"/>
    <s v="ColorJet X"/>
    <n v="12"/>
    <n v="433.88"/>
    <n v="0.1"/>
    <n v="4685.8999999999996"/>
    <n v="3447.39"/>
    <n v="4550.24"/>
    <n v="420"/>
    <n v="1238.5099999999998"/>
    <n v="0.26430568300646617"/>
    <n v="135.65999999999985"/>
    <s v="Above Target"/>
  </r>
  <r>
    <s v="ORD1290"/>
    <x v="189"/>
    <x v="3"/>
    <x v="5"/>
    <s v="Customer 028"/>
    <s v="Corporate"/>
    <x v="1"/>
    <s v="USB-C Hub"/>
    <n v="15"/>
    <n v="59.22"/>
    <n v="0.03"/>
    <n v="861.65"/>
    <n v="562.37"/>
    <n v="766.78"/>
    <n v="60"/>
    <n v="299.27999999999997"/>
    <n v="0.34733360413160796"/>
    <n v="94.87"/>
    <s v="Above Target"/>
  </r>
  <r>
    <s v="ORD1291"/>
    <x v="192"/>
    <x v="2"/>
    <x v="4"/>
    <s v="Customer 030"/>
    <s v="Retail"/>
    <x v="1"/>
    <s v="Mechanical Keyboard"/>
    <n v="12"/>
    <n v="82.09"/>
    <n v="0.03"/>
    <n v="955.53"/>
    <n v="700"/>
    <n v="984.54"/>
    <n v="85"/>
    <n v="255.52999999999997"/>
    <n v="0.26742226826996535"/>
    <n v="-29.009999999999991"/>
    <s v="Below Target"/>
  </r>
  <r>
    <s v="ORD1292"/>
    <x v="170"/>
    <x v="3"/>
    <x v="1"/>
    <s v="Customer 028"/>
    <s v="Distributor"/>
    <x v="1"/>
    <s v="Mechanical Keyboard"/>
    <n v="11"/>
    <n v="88.99"/>
    <n v="0"/>
    <n v="978.89"/>
    <n v="798.18"/>
    <n v="1061.27"/>
    <n v="85"/>
    <n v="180.71000000000004"/>
    <n v="0.18460705492956311"/>
    <n v="-82.38"/>
    <s v="Below Target"/>
  </r>
  <r>
    <s v="ORD1293"/>
    <x v="193"/>
    <x v="0"/>
    <x v="0"/>
    <s v="Customer 091"/>
    <s v="Corporate"/>
    <x v="0"/>
    <s v="ProBook 14"/>
    <n v="14"/>
    <n v="859.41"/>
    <n v="0.08"/>
    <n v="11069.2"/>
    <n v="7677.57"/>
    <n v="10493.4"/>
    <n v="850"/>
    <n v="3391.630000000001"/>
    <n v="0.30640245004155681"/>
    <n v="575.80000000000109"/>
    <s v="Above Target"/>
  </r>
  <r>
    <s v="ORD1294"/>
    <x v="194"/>
    <x v="1"/>
    <x v="5"/>
    <s v="Customer 057"/>
    <s v="Distributor"/>
    <x v="0"/>
    <s v="UltraBook 15"/>
    <n v="8"/>
    <n v="1045.97"/>
    <n v="0.02"/>
    <n v="8200.4"/>
    <n v="6551.13"/>
    <n v="7540.03"/>
    <n v="1100"/>
    <n v="1649.2699999999995"/>
    <n v="0.20112067704014433"/>
    <n v="660.36999999999989"/>
    <s v="Above Target"/>
  </r>
  <r>
    <s v="ORD1295"/>
    <x v="102"/>
    <x v="2"/>
    <x v="2"/>
    <s v="Customer 078"/>
    <s v="Online"/>
    <x v="2"/>
    <s v="Monitor 24"/>
    <n v="8"/>
    <n v="210.87"/>
    <n v="0.03"/>
    <n v="1636.35"/>
    <n v="1167.8499999999999"/>
    <n v="1608.22"/>
    <n v="220"/>
    <n v="468.5"/>
    <n v="0.28630794145506772"/>
    <n v="28.129999999999882"/>
    <s v="Above Target"/>
  </r>
  <r>
    <s v="ORD1296"/>
    <x v="195"/>
    <x v="1"/>
    <x v="2"/>
    <s v="Customer 085"/>
    <s v="Retail"/>
    <x v="3"/>
    <s v="OfficeJet Pro"/>
    <n v="11"/>
    <n v="334.27"/>
    <n v="0.1"/>
    <n v="3309.27"/>
    <n v="2201.8200000000002"/>
    <n v="3365.76"/>
    <n v="340"/>
    <n v="1107.4499999999998"/>
    <n v="0.33465084444605603"/>
    <n v="-56.490000000000236"/>
    <s v="Below Target"/>
  </r>
  <r>
    <s v="ORD1297"/>
    <x v="196"/>
    <x v="3"/>
    <x v="4"/>
    <s v="Customer 011"/>
    <s v="Retail"/>
    <x v="2"/>
    <s v="Monitor 32"/>
    <n v="9"/>
    <n v="467.33"/>
    <n v="0"/>
    <n v="4205.97"/>
    <n v="3308.35"/>
    <n v="3925.84"/>
    <n v="450"/>
    <n v="897.62000000000035"/>
    <n v="0.21341569245619924"/>
    <n v="280.13000000000011"/>
    <s v="Above Target"/>
  </r>
  <r>
    <s v="ORD1298"/>
    <x v="197"/>
    <x v="3"/>
    <x v="2"/>
    <s v="Customer 034"/>
    <s v="Online"/>
    <x v="1"/>
    <s v="Webcam HD"/>
    <n v="6"/>
    <n v="75.41"/>
    <n v="0.05"/>
    <n v="429.84"/>
    <n v="291.95"/>
    <n v="403.04"/>
    <n v="75"/>
    <n v="137.88999999999999"/>
    <n v="0.32079378373348222"/>
    <n v="26.799999999999955"/>
    <s v="Above Target"/>
  </r>
  <r>
    <s v="ORD1299"/>
    <x v="198"/>
    <x v="1"/>
    <x v="4"/>
    <s v="Customer 013"/>
    <s v="Retail"/>
    <x v="0"/>
    <s v="Business 13"/>
    <n v="15"/>
    <n v="921.77"/>
    <n v="0.1"/>
    <n v="12443.9"/>
    <n v="7773.7"/>
    <n v="13525.54"/>
    <n v="950"/>
    <n v="4670.2"/>
    <n v="0.3753003479616519"/>
    <n v="-1081.6400000000012"/>
    <s v="Below Target"/>
  </r>
  <r>
    <s v="ORD1300"/>
    <x v="199"/>
    <x v="0"/>
    <x v="4"/>
    <s v="Customer 066"/>
    <s v="Online"/>
    <x v="3"/>
    <s v="LaserJet M200"/>
    <n v="5"/>
    <n v="265.44"/>
    <n v="0.02"/>
    <n v="1300.6600000000001"/>
    <n v="938.93"/>
    <n v="1215.3"/>
    <n v="260"/>
    <n v="361.73000000000013"/>
    <n v="0.2781126505005152"/>
    <n v="85.360000000000127"/>
    <s v="Above Target"/>
  </r>
  <r>
    <s v="ORD1301"/>
    <x v="86"/>
    <x v="0"/>
    <x v="4"/>
    <s v="Customer 093"/>
    <s v="Online"/>
    <x v="3"/>
    <s v="LaserJet M200"/>
    <n v="2"/>
    <n v="267.81"/>
    <n v="0.02"/>
    <n v="524.91"/>
    <n v="414.66"/>
    <n v="531.28"/>
    <n v="260"/>
    <n v="110.24999999999994"/>
    <n v="0.21003600617248661"/>
    <n v="-6.3700000000000045"/>
    <s v="Below Target"/>
  </r>
  <r>
    <s v="ORD1302"/>
    <x v="80"/>
    <x v="2"/>
    <x v="3"/>
    <s v="Customer 100"/>
    <s v="Online"/>
    <x v="3"/>
    <s v="LaserJet M200"/>
    <n v="7"/>
    <n v="261.14999999999998"/>
    <n v="0.02"/>
    <n v="1791.49"/>
    <n v="1296.8"/>
    <n v="1909.72"/>
    <n v="260"/>
    <n v="494.69000000000005"/>
    <n v="0.27613327453683806"/>
    <n v="-118.23000000000002"/>
    <s v="Below Target"/>
  </r>
  <r>
    <s v="ORD1303"/>
    <x v="60"/>
    <x v="3"/>
    <x v="3"/>
    <s v="Customer 016"/>
    <s v="Retail"/>
    <x v="2"/>
    <s v="Monitor 24"/>
    <n v="1"/>
    <n v="217.19"/>
    <n v="0"/>
    <n v="217.19"/>
    <n v="163.85"/>
    <n v="240.94"/>
    <n v="220"/>
    <n v="53.34"/>
    <n v="0.24559141765274647"/>
    <n v="-23.75"/>
    <s v="Below Target"/>
  </r>
  <r>
    <s v="ORD1304"/>
    <x v="200"/>
    <x v="1"/>
    <x v="1"/>
    <s v="Customer 047"/>
    <s v="Distributor"/>
    <x v="0"/>
    <s v="UltraBook 15"/>
    <n v="10"/>
    <n v="1153.75"/>
    <n v="0.02"/>
    <n v="11306.75"/>
    <n v="8184.4"/>
    <n v="12439.7"/>
    <n v="1100"/>
    <n v="3122.3500000000004"/>
    <n v="0.2761492029097663"/>
    <n v="-1132.9500000000007"/>
    <s v="Below Target"/>
  </r>
  <r>
    <s v="ORD1305"/>
    <x v="201"/>
    <x v="1"/>
    <x v="4"/>
    <s v="Customer 063"/>
    <s v="Online"/>
    <x v="0"/>
    <s v="ProBook 14"/>
    <n v="14"/>
    <n v="829.23"/>
    <n v="0.02"/>
    <n v="11377.04"/>
    <n v="7759.86"/>
    <n v="12024.85"/>
    <n v="850"/>
    <n v="3617.1800000000012"/>
    <n v="0.3179368271536358"/>
    <n v="-647.80999999999949"/>
    <s v="Below Target"/>
  </r>
  <r>
    <s v="ORD1306"/>
    <x v="202"/>
    <x v="2"/>
    <x v="3"/>
    <s v="Customer 046"/>
    <s v="Retail"/>
    <x v="2"/>
    <s v="Monitor 32"/>
    <n v="2"/>
    <n v="443.51"/>
    <n v="0.03"/>
    <n v="860.41"/>
    <n v="668.25"/>
    <n v="780.49"/>
    <n v="450"/>
    <n v="192.15999999999997"/>
    <n v="0.22333538661800767"/>
    <n v="79.919999999999959"/>
    <s v="Above Target"/>
  </r>
  <r>
    <s v="ORD1307"/>
    <x v="125"/>
    <x v="3"/>
    <x v="5"/>
    <s v="Customer 010"/>
    <s v="Distributor"/>
    <x v="1"/>
    <s v="Mechanical Keyboard"/>
    <n v="1"/>
    <n v="87.87"/>
    <n v="0.08"/>
    <n v="80.84"/>
    <n v="56.33"/>
    <n v="86.49"/>
    <n v="85"/>
    <n v="24.510000000000005"/>
    <n v="0.3031914893617022"/>
    <n v="-5.6499999999999915"/>
    <s v="Below Target"/>
  </r>
  <r>
    <s v="ORD1308"/>
    <x v="73"/>
    <x v="1"/>
    <x v="0"/>
    <s v="Customer 089"/>
    <s v="Distributor"/>
    <x v="0"/>
    <s v="Business 13"/>
    <n v="9"/>
    <n v="990.95"/>
    <n v="0.1"/>
    <n v="8026.7"/>
    <n v="5998.39"/>
    <n v="8674.3700000000008"/>
    <n v="950"/>
    <n v="2028.3099999999995"/>
    <n v="0.25269537917201335"/>
    <n v="-647.67000000000098"/>
    <s v="Below Target"/>
  </r>
  <r>
    <s v="ORD1309"/>
    <x v="203"/>
    <x v="0"/>
    <x v="5"/>
    <s v="Customer 010"/>
    <s v="Retail"/>
    <x v="0"/>
    <s v="ProBook 14"/>
    <n v="1"/>
    <n v="836.6"/>
    <n v="0.02"/>
    <n v="819.87"/>
    <n v="579.79"/>
    <n v="816.72"/>
    <n v="850"/>
    <n v="240.08000000000004"/>
    <n v="0.29282691158354379"/>
    <n v="3.1499999999999773"/>
    <s v="Above Target"/>
  </r>
  <r>
    <s v="ORD1310"/>
    <x v="91"/>
    <x v="3"/>
    <x v="2"/>
    <s v="Customer 030"/>
    <s v="Online"/>
    <x v="3"/>
    <s v="LaserJet M200"/>
    <n v="11"/>
    <n v="262.60000000000002"/>
    <n v="0.05"/>
    <n v="2744.17"/>
    <n v="2230.62"/>
    <n v="2871.23"/>
    <n v="260"/>
    <n v="513.55000000000018"/>
    <n v="0.18714219600097667"/>
    <n v="-127.05999999999995"/>
    <s v="Below Target"/>
  </r>
  <r>
    <s v="ORD1311"/>
    <x v="204"/>
    <x v="2"/>
    <x v="3"/>
    <s v="Customer 094"/>
    <s v="Corporate"/>
    <x v="2"/>
    <s v="Monitor 32"/>
    <n v="9"/>
    <n v="437.23"/>
    <n v="0.02"/>
    <n v="3856.37"/>
    <n v="2813.72"/>
    <n v="3434.01"/>
    <n v="450"/>
    <n v="1042.6500000000001"/>
    <n v="0.27037084097220965"/>
    <n v="422.35999999999967"/>
    <s v="Above Target"/>
  </r>
  <r>
    <s v="ORD1312"/>
    <x v="52"/>
    <x v="3"/>
    <x v="3"/>
    <s v="Customer 030"/>
    <s v="Online"/>
    <x v="1"/>
    <s v="Webcam HD"/>
    <n v="8"/>
    <n v="74.16"/>
    <n v="0.03"/>
    <n v="575.48"/>
    <n v="385.09"/>
    <n v="552.76"/>
    <n v="75"/>
    <n v="190.39000000000004"/>
    <n v="0.33083686661569478"/>
    <n v="22.720000000000027"/>
    <s v="Above Target"/>
  </r>
  <r>
    <s v="ORD1313"/>
    <x v="29"/>
    <x v="2"/>
    <x v="3"/>
    <s v="Customer 050"/>
    <s v="Distributor"/>
    <x v="1"/>
    <s v="Mechanical Keyboard"/>
    <n v="15"/>
    <n v="89.13"/>
    <n v="0"/>
    <n v="1336.95"/>
    <n v="987.73"/>
    <n v="1409.78"/>
    <n v="85"/>
    <n v="349.22"/>
    <n v="0.26120647742997122"/>
    <n v="-72.829999999999927"/>
    <s v="Below Target"/>
  </r>
  <r>
    <s v="ORD1314"/>
    <x v="205"/>
    <x v="0"/>
    <x v="0"/>
    <s v="Customer 116"/>
    <s v="Online"/>
    <x v="1"/>
    <s v="USB-C Hub"/>
    <n v="5"/>
    <n v="59.14"/>
    <n v="0.08"/>
    <n v="272.04000000000002"/>
    <n v="194.83"/>
    <n v="301.87"/>
    <n v="60"/>
    <n v="77.210000000000008"/>
    <n v="0.28381855609469198"/>
    <n v="-29.829999999999984"/>
    <s v="Below Target"/>
  </r>
  <r>
    <s v="ORD1315"/>
    <x v="112"/>
    <x v="2"/>
    <x v="1"/>
    <s v="Customer 088"/>
    <s v="Online"/>
    <x v="3"/>
    <s v="ColorJet X"/>
    <n v="7"/>
    <n v="425.59"/>
    <n v="0.1"/>
    <n v="2681.22"/>
    <n v="1667.12"/>
    <n v="2869.06"/>
    <n v="420"/>
    <n v="1014.0999999999999"/>
    <n v="0.37822334608872082"/>
    <n v="-187.84000000000015"/>
    <s v="Below Target"/>
  </r>
  <r>
    <s v="ORD1316"/>
    <x v="181"/>
    <x v="3"/>
    <x v="3"/>
    <s v="Customer 008"/>
    <s v="Distributor"/>
    <x v="3"/>
    <s v="ColorJet X"/>
    <n v="6"/>
    <n v="430.06"/>
    <n v="0.08"/>
    <n v="2373.9299999999998"/>
    <n v="1869.96"/>
    <n v="2228.7600000000002"/>
    <n v="420"/>
    <n v="503.9699999999998"/>
    <n v="0.21229353856263658"/>
    <n v="145.16999999999962"/>
    <s v="Above Target"/>
  </r>
  <r>
    <s v="ORD1317"/>
    <x v="206"/>
    <x v="2"/>
    <x v="3"/>
    <s v="Customer 020"/>
    <s v="Retail"/>
    <x v="2"/>
    <s v="Monitor 32"/>
    <n v="15"/>
    <n v="471.98"/>
    <n v="0.05"/>
    <n v="6725.72"/>
    <n v="4780.79"/>
    <n v="7362.03"/>
    <n v="450"/>
    <n v="1944.9300000000003"/>
    <n v="0.28917796161600545"/>
    <n v="-636.30999999999949"/>
    <s v="Below Target"/>
  </r>
  <r>
    <s v="ORD1318"/>
    <x v="121"/>
    <x v="1"/>
    <x v="1"/>
    <s v="Customer 076"/>
    <s v="Online"/>
    <x v="0"/>
    <s v="ProBook 14"/>
    <n v="15"/>
    <n v="881.53"/>
    <n v="0.05"/>
    <n v="12561.8"/>
    <n v="8656.2900000000009"/>
    <n v="12248.48"/>
    <n v="850"/>
    <n v="3905.5099999999984"/>
    <n v="0.31090369214602992"/>
    <n v="313.31999999999971"/>
    <s v="Above Target"/>
  </r>
  <r>
    <s v="ORD1319"/>
    <x v="207"/>
    <x v="1"/>
    <x v="5"/>
    <s v="Customer 118"/>
    <s v="Retail"/>
    <x v="2"/>
    <s v="Monitor 27"/>
    <n v="12"/>
    <n v="313.87"/>
    <n v="0.1"/>
    <n v="3389.8"/>
    <n v="2460.38"/>
    <n v="3519.04"/>
    <n v="320"/>
    <n v="929.42000000000007"/>
    <n v="0.27418136763230871"/>
    <n v="-129.23999999999978"/>
    <s v="Below Target"/>
  </r>
  <r>
    <s v="ORD1320"/>
    <x v="166"/>
    <x v="3"/>
    <x v="4"/>
    <s v="Customer 112"/>
    <s v="Online"/>
    <x v="0"/>
    <s v="UltraBook 15"/>
    <n v="10"/>
    <n v="1064.6600000000001"/>
    <n v="0.08"/>
    <n v="9794.8700000000008"/>
    <n v="6638.65"/>
    <n v="9719.35"/>
    <n v="1100"/>
    <n v="3156.2200000000012"/>
    <n v="0.32223194386449244"/>
    <n v="75.520000000000437"/>
    <s v="Above Target"/>
  </r>
  <r>
    <s v="ORD1321"/>
    <x v="59"/>
    <x v="1"/>
    <x v="1"/>
    <s v="Customer 091"/>
    <s v="Online"/>
    <x v="2"/>
    <s v="Monitor 32"/>
    <n v="15"/>
    <n v="435.39"/>
    <n v="0.03"/>
    <n v="6334.92"/>
    <n v="4562.58"/>
    <n v="6727.93"/>
    <n v="450"/>
    <n v="1772.3400000000001"/>
    <n v="0.27977306737890928"/>
    <n v="-393.01000000000022"/>
    <s v="Below Target"/>
  </r>
  <r>
    <s v="ORD1322"/>
    <x v="208"/>
    <x v="0"/>
    <x v="1"/>
    <s v="Customer 031"/>
    <s v="Online"/>
    <x v="0"/>
    <s v="ProBook 14"/>
    <n v="7"/>
    <n v="845.57"/>
    <n v="0.08"/>
    <n v="5445.47"/>
    <n v="3605.88"/>
    <n v="5447.97"/>
    <n v="850"/>
    <n v="1839.5900000000001"/>
    <n v="0.33782024324805759"/>
    <n v="-2.5"/>
    <s v="Below Target"/>
  </r>
  <r>
    <s v="ORD1323"/>
    <x v="132"/>
    <x v="2"/>
    <x v="3"/>
    <s v="Customer 069"/>
    <s v="Online"/>
    <x v="1"/>
    <s v="Webcam HD"/>
    <n v="1"/>
    <n v="71.84"/>
    <n v="0.08"/>
    <n v="66.09"/>
    <n v="44.61"/>
    <n v="60.33"/>
    <n v="75"/>
    <n v="21.480000000000004"/>
    <n v="0.32501134816159788"/>
    <n v="5.7600000000000051"/>
    <s v="Above Target"/>
  </r>
  <r>
    <s v="ORD1324"/>
    <x v="100"/>
    <x v="3"/>
    <x v="2"/>
    <s v="Customer 079"/>
    <s v="Distributor"/>
    <x v="2"/>
    <s v="Monitor 32"/>
    <n v="15"/>
    <n v="428.74"/>
    <n v="0.03"/>
    <n v="6238.17"/>
    <n v="4191.33"/>
    <n v="6611.45"/>
    <n v="450"/>
    <n v="2046.8400000000001"/>
    <n v="0.32811545693689015"/>
    <n v="-373.27999999999975"/>
    <s v="Below Target"/>
  </r>
  <r>
    <s v="ORD1325"/>
    <x v="209"/>
    <x v="3"/>
    <x v="0"/>
    <s v="Customer 052"/>
    <s v="Distributor"/>
    <x v="0"/>
    <s v="ProBook 14"/>
    <n v="14"/>
    <n v="842.71"/>
    <n v="0"/>
    <n v="11797.94"/>
    <n v="7305.09"/>
    <n v="12117.31"/>
    <n v="850"/>
    <n v="4492.8500000000004"/>
    <n v="0.38081648152135034"/>
    <n v="-319.36999999999898"/>
    <s v="Below Target"/>
  </r>
  <r>
    <s v="ORD1326"/>
    <x v="210"/>
    <x v="3"/>
    <x v="0"/>
    <s v="Customer 091"/>
    <s v="Distributor"/>
    <x v="0"/>
    <s v="ProBook 14"/>
    <n v="1"/>
    <n v="886.15"/>
    <n v="0.08"/>
    <n v="815.26"/>
    <n v="606.47"/>
    <n v="778.76"/>
    <n v="850"/>
    <n v="208.78999999999996"/>
    <n v="0.25610234771729262"/>
    <n v="36.5"/>
    <s v="Above Target"/>
  </r>
  <r>
    <s v="ORD1327"/>
    <x v="211"/>
    <x v="1"/>
    <x v="3"/>
    <s v="Customer 055"/>
    <s v="Distributor"/>
    <x v="0"/>
    <s v="UltraBook 15"/>
    <n v="1"/>
    <n v="1062.18"/>
    <n v="0.02"/>
    <n v="1040.94"/>
    <n v="745.82"/>
    <n v="1126.03"/>
    <n v="1100"/>
    <n v="295.12"/>
    <n v="0.28351297865390895"/>
    <n v="-85.089999999999918"/>
    <s v="Below Target"/>
  </r>
  <r>
    <s v="ORD1328"/>
    <x v="82"/>
    <x v="1"/>
    <x v="1"/>
    <s v="Customer 095"/>
    <s v="Distributor"/>
    <x v="3"/>
    <s v="LaserJet M200"/>
    <n v="10"/>
    <n v="269.51"/>
    <n v="0.02"/>
    <n v="2641.2"/>
    <n v="1966.69"/>
    <n v="2705.58"/>
    <n v="260"/>
    <n v="674.50999999999976"/>
    <n v="0.2553801302438285"/>
    <n v="-64.380000000000109"/>
    <s v="Below Target"/>
  </r>
  <r>
    <s v="ORD1329"/>
    <x v="212"/>
    <x v="3"/>
    <x v="0"/>
    <s v="Customer 036"/>
    <s v="Distributor"/>
    <x v="1"/>
    <s v="Mechanical Keyboard"/>
    <n v="13"/>
    <n v="81.02"/>
    <n v="0.1"/>
    <n v="947.93"/>
    <n v="633.25"/>
    <n v="1009.95"/>
    <n v="85"/>
    <n v="314.67999999999995"/>
    <n v="0.33196544048611182"/>
    <n v="-62.020000000000095"/>
    <s v="Below Target"/>
  </r>
  <r>
    <s v="ORD1330"/>
    <x v="213"/>
    <x v="1"/>
    <x v="1"/>
    <s v="Customer 081"/>
    <s v="Retail"/>
    <x v="1"/>
    <s v="USB-C Hub"/>
    <n v="5"/>
    <n v="57.79"/>
    <n v="0"/>
    <n v="288.95"/>
    <n v="208.85"/>
    <n v="261.2"/>
    <n v="60"/>
    <n v="80.099999999999994"/>
    <n v="0.27721059006748572"/>
    <n v="27.75"/>
    <s v="Above Target"/>
  </r>
  <r>
    <s v="ORD1331"/>
    <x v="214"/>
    <x v="2"/>
    <x v="0"/>
    <s v="Customer 100"/>
    <s v="Retail"/>
    <x v="3"/>
    <s v="ColorJet X"/>
    <n v="2"/>
    <n v="438.35"/>
    <n v="0.08"/>
    <n v="806.56"/>
    <n v="507.74"/>
    <n v="721.42"/>
    <n v="420"/>
    <n v="298.81999999999994"/>
    <n v="0.37048700654632011"/>
    <n v="85.139999999999986"/>
    <s v="Above Target"/>
  </r>
  <r>
    <s v="ORD1332"/>
    <x v="215"/>
    <x v="2"/>
    <x v="0"/>
    <s v="Customer 004"/>
    <s v="Distributor"/>
    <x v="1"/>
    <s v="Webcam HD"/>
    <n v="6"/>
    <n v="76.78"/>
    <n v="0.02"/>
    <n v="451.47"/>
    <n v="357.38"/>
    <n v="490.01"/>
    <n v="75"/>
    <n v="94.090000000000032"/>
    <n v="0.20840808913106082"/>
    <n v="-38.539999999999964"/>
    <s v="Below Target"/>
  </r>
  <r>
    <s v="ORD1333"/>
    <x v="216"/>
    <x v="3"/>
    <x v="2"/>
    <s v="Customer 028"/>
    <s v="Distributor"/>
    <x v="2"/>
    <s v="Monitor 24"/>
    <n v="8"/>
    <n v="230.61"/>
    <n v="0.05"/>
    <n v="1752.64"/>
    <n v="1133.76"/>
    <n v="1926.09"/>
    <n v="220"/>
    <n v="618.88000000000011"/>
    <n v="0.35311301807558887"/>
    <n v="-173.44999999999982"/>
    <s v="Below Target"/>
  </r>
  <r>
    <s v="ORD1334"/>
    <x v="109"/>
    <x v="1"/>
    <x v="5"/>
    <s v="Customer 030"/>
    <s v="Corporate"/>
    <x v="0"/>
    <s v="UltraBook 15"/>
    <n v="11"/>
    <n v="1125.67"/>
    <n v="0"/>
    <n v="12382.37"/>
    <n v="9627.11"/>
    <n v="13611.66"/>
    <n v="1100"/>
    <n v="2755.26"/>
    <n v="0.22251475283003172"/>
    <n v="-1229.2899999999991"/>
    <s v="Below Target"/>
  </r>
  <r>
    <s v="ORD1335"/>
    <x v="85"/>
    <x v="3"/>
    <x v="1"/>
    <s v="Customer 030"/>
    <s v="Distributor"/>
    <x v="1"/>
    <s v="Wireless Mouse"/>
    <n v="11"/>
    <n v="35.44"/>
    <n v="0.02"/>
    <n v="382.04"/>
    <n v="231.8"/>
    <n v="338.1"/>
    <n v="35"/>
    <n v="150.24"/>
    <n v="0.39325725054968064"/>
    <n v="43.94"/>
    <s v="Above Target"/>
  </r>
  <r>
    <s v="ORD1336"/>
    <x v="217"/>
    <x v="2"/>
    <x v="0"/>
    <s v="Customer 102"/>
    <s v="Retail"/>
    <x v="2"/>
    <s v="Monitor 32"/>
    <n v="13"/>
    <n v="446.65"/>
    <n v="0.03"/>
    <n v="5632.26"/>
    <n v="3749.18"/>
    <n v="6300.44"/>
    <n v="450"/>
    <n v="1883.0800000000004"/>
    <n v="0.33433825853209909"/>
    <n v="-668.17999999999938"/>
    <s v="Below Target"/>
  </r>
  <r>
    <s v="ORD1337"/>
    <x v="105"/>
    <x v="1"/>
    <x v="5"/>
    <s v="Customer 063"/>
    <s v="Retail"/>
    <x v="3"/>
    <s v="ColorJet X"/>
    <n v="5"/>
    <n v="439.08"/>
    <n v="0.02"/>
    <n v="2151.4899999999998"/>
    <n v="1680.36"/>
    <n v="2039.22"/>
    <n v="420"/>
    <n v="471.12999999999988"/>
    <n v="0.21897847538217696"/>
    <n v="112.26999999999975"/>
    <s v="Above Target"/>
  </r>
  <r>
    <s v="ORD1338"/>
    <x v="218"/>
    <x v="2"/>
    <x v="4"/>
    <s v="Customer 047"/>
    <s v="Online"/>
    <x v="2"/>
    <s v="Monitor 32"/>
    <n v="11"/>
    <n v="454.96"/>
    <n v="0.05"/>
    <n v="4754.33"/>
    <n v="3074.41"/>
    <n v="4243.29"/>
    <n v="450"/>
    <n v="1679.92"/>
    <n v="0.35334526631512747"/>
    <n v="511.03999999999996"/>
    <s v="Above Target"/>
  </r>
  <r>
    <s v="ORD1339"/>
    <x v="160"/>
    <x v="2"/>
    <x v="5"/>
    <s v="Customer 018"/>
    <s v="Distributor"/>
    <x v="0"/>
    <s v="Business 13"/>
    <n v="7"/>
    <n v="984.58"/>
    <n v="0.03"/>
    <n v="6685.3"/>
    <n v="5018.88"/>
    <n v="7174.7"/>
    <n v="950"/>
    <n v="1666.42"/>
    <n v="0.24926630068957265"/>
    <n v="-489.39999999999964"/>
    <s v="Below Target"/>
  </r>
  <r>
    <s v="ORD1340"/>
    <x v="13"/>
    <x v="3"/>
    <x v="3"/>
    <s v="Customer 083"/>
    <s v="Corporate"/>
    <x v="1"/>
    <s v="USB-C Hub"/>
    <n v="12"/>
    <n v="59.11"/>
    <n v="0.02"/>
    <n v="695.13"/>
    <n v="488.11"/>
    <n v="677.98"/>
    <n v="60"/>
    <n v="207.01999999999998"/>
    <n v="0.29781479723217236"/>
    <n v="17.149999999999977"/>
    <s v="Above Target"/>
  </r>
  <r>
    <s v="ORD1341"/>
    <x v="167"/>
    <x v="2"/>
    <x v="0"/>
    <s v="Customer 056"/>
    <s v="Online"/>
    <x v="0"/>
    <s v="ProBook 14"/>
    <n v="10"/>
    <n v="827.44"/>
    <n v="0.1"/>
    <n v="7446.96"/>
    <n v="5597.74"/>
    <n v="6621.02"/>
    <n v="850"/>
    <n v="1849.2200000000003"/>
    <n v="0.24831877705802102"/>
    <n v="825.9399999999996"/>
    <s v="Above Target"/>
  </r>
  <r>
    <s v="ORD1342"/>
    <x v="168"/>
    <x v="2"/>
    <x v="0"/>
    <s v="Customer 055"/>
    <s v="Online"/>
    <x v="0"/>
    <s v="ProBook 14"/>
    <n v="15"/>
    <n v="834.4"/>
    <n v="0"/>
    <n v="12516"/>
    <n v="7841.3"/>
    <n v="12478.02"/>
    <n v="850"/>
    <n v="4674.7"/>
    <n v="0.37349792265899645"/>
    <n v="37.979999999999563"/>
    <s v="Above Target"/>
  </r>
  <r>
    <s v="ORD1343"/>
    <x v="169"/>
    <x v="0"/>
    <x v="0"/>
    <s v="Customer 046"/>
    <s v="Corporate"/>
    <x v="2"/>
    <s v="Monitor 24"/>
    <n v="11"/>
    <n v="220.89"/>
    <n v="0.1"/>
    <n v="2186.81"/>
    <n v="1667.24"/>
    <n v="2187.19"/>
    <n v="220"/>
    <n v="519.56999999999994"/>
    <n v="0.23759265779834551"/>
    <n v="-0.38000000000010914"/>
    <s v="Below Target"/>
  </r>
  <r>
    <s v="ORD1344"/>
    <x v="219"/>
    <x v="2"/>
    <x v="5"/>
    <s v="Customer 034"/>
    <s v="Distributor"/>
    <x v="2"/>
    <s v="Monitor 32"/>
    <n v="4"/>
    <n v="465.89"/>
    <n v="0.02"/>
    <n v="1826.29"/>
    <n v="1389.64"/>
    <n v="1726.78"/>
    <n v="450"/>
    <n v="436.64999999999986"/>
    <n v="0.23909127247041809"/>
    <n v="99.509999999999991"/>
    <s v="Above Target"/>
  </r>
  <r>
    <s v="ORD1345"/>
    <x v="172"/>
    <x v="1"/>
    <x v="5"/>
    <s v="Customer 042"/>
    <s v="Online"/>
    <x v="0"/>
    <s v="ProBook 14"/>
    <n v="4"/>
    <n v="850.74"/>
    <n v="0.05"/>
    <n v="3232.81"/>
    <n v="2501.21"/>
    <n v="3583.45"/>
    <n v="850"/>
    <n v="731.59999999999991"/>
    <n v="0.22630466993111253"/>
    <n v="-350.63999999999987"/>
    <s v="Below Target"/>
  </r>
  <r>
    <s v="ORD1346"/>
    <x v="74"/>
    <x v="1"/>
    <x v="2"/>
    <s v="Customer 055"/>
    <s v="Distributor"/>
    <x v="1"/>
    <s v="Mechanical Keyboard"/>
    <n v="9"/>
    <n v="83.15"/>
    <n v="0.03"/>
    <n v="725.9"/>
    <n v="545.78"/>
    <n v="809.94"/>
    <n v="85"/>
    <n v="180.12"/>
    <n v="0.2481333517013363"/>
    <n v="-84.040000000000077"/>
    <s v="Below Target"/>
  </r>
  <r>
    <s v="ORD1347"/>
    <x v="220"/>
    <x v="2"/>
    <x v="4"/>
    <s v="Customer 001"/>
    <s v="Retail"/>
    <x v="1"/>
    <s v="Wireless Mouse"/>
    <n v="7"/>
    <n v="36.659999999999997"/>
    <n v="0.05"/>
    <n v="243.79"/>
    <n v="187.09"/>
    <n v="266.12"/>
    <n v="35"/>
    <n v="56.699999999999989"/>
    <n v="0.23257721809754292"/>
    <n v="-22.330000000000013"/>
    <s v="Below Target"/>
  </r>
  <r>
    <s v="ORD1348"/>
    <x v="90"/>
    <x v="2"/>
    <x v="1"/>
    <s v="Customer 085"/>
    <s v="Online"/>
    <x v="1"/>
    <s v="USB-C Hub"/>
    <n v="15"/>
    <n v="62.93"/>
    <n v="0.1"/>
    <n v="849.56"/>
    <n v="623.91999999999996"/>
    <n v="824.47"/>
    <n v="60"/>
    <n v="225.64"/>
    <n v="0.265596308677433"/>
    <n v="25.089999999999918"/>
    <s v="Above Target"/>
  </r>
  <r>
    <s v="ORD1349"/>
    <x v="1"/>
    <x v="1"/>
    <x v="4"/>
    <s v="Customer 083"/>
    <s v="Corporate"/>
    <x v="1"/>
    <s v="Webcam HD"/>
    <n v="13"/>
    <n v="71.5"/>
    <n v="0.1"/>
    <n v="836.55"/>
    <n v="511.04"/>
    <n v="875.54"/>
    <n v="75"/>
    <n v="325.50999999999993"/>
    <n v="0.38911003526388138"/>
    <n v="-38.990000000000009"/>
    <s v="Below Target"/>
  </r>
  <r>
    <s v="ORD1350"/>
    <x v="12"/>
    <x v="3"/>
    <x v="0"/>
    <s v="Customer 044"/>
    <s v="Corporate"/>
    <x v="3"/>
    <s v="LaserJet M200"/>
    <n v="6"/>
    <n v="258.83999999999997"/>
    <n v="0.08"/>
    <n v="1428.8"/>
    <n v="857.57"/>
    <n v="1513.23"/>
    <n v="260"/>
    <n v="571.2299999999999"/>
    <n v="0.39979703247480397"/>
    <n v="-84.430000000000064"/>
    <s v="Below Target"/>
  </r>
  <r>
    <s v="ORD1351"/>
    <x v="221"/>
    <x v="1"/>
    <x v="0"/>
    <s v="Customer 085"/>
    <s v="Distributor"/>
    <x v="3"/>
    <s v="LaserJet M200"/>
    <n v="13"/>
    <n v="266.33"/>
    <n v="0.05"/>
    <n v="3289.18"/>
    <n v="2230.54"/>
    <n v="2945.09"/>
    <n v="260"/>
    <n v="1058.6399999999999"/>
    <n v="0.32185529524075907"/>
    <n v="344.08999999999969"/>
    <s v="Above Target"/>
  </r>
  <r>
    <s v="ORD1352"/>
    <x v="222"/>
    <x v="1"/>
    <x v="2"/>
    <s v="Customer 110"/>
    <s v="Distributor"/>
    <x v="3"/>
    <s v="LaserJet M200"/>
    <n v="13"/>
    <n v="261.12"/>
    <n v="0.02"/>
    <n v="3326.67"/>
    <n v="2672.21"/>
    <n v="3538.56"/>
    <n v="260"/>
    <n v="654.46"/>
    <n v="0.19673126580033487"/>
    <n v="-211.88999999999987"/>
    <s v="Below Target"/>
  </r>
  <r>
    <s v="ORD1353"/>
    <x v="213"/>
    <x v="1"/>
    <x v="0"/>
    <s v="Customer 027"/>
    <s v="Retail"/>
    <x v="1"/>
    <s v="Webcam HD"/>
    <n v="8"/>
    <n v="75.53"/>
    <n v="0.02"/>
    <n v="592.16"/>
    <n v="363.87"/>
    <n v="628.72"/>
    <n v="75"/>
    <n v="228.28999999999996"/>
    <n v="0.38552080518778703"/>
    <n v="-36.560000000000059"/>
    <s v="Below Target"/>
  </r>
  <r>
    <s v="ORD1354"/>
    <x v="95"/>
    <x v="0"/>
    <x v="3"/>
    <s v="Customer 049"/>
    <s v="Distributor"/>
    <x v="2"/>
    <s v="Monitor 24"/>
    <n v="11"/>
    <n v="212.79"/>
    <n v="0.1"/>
    <n v="2106.62"/>
    <n v="1477.3"/>
    <n v="2177.67"/>
    <n v="220"/>
    <n v="629.31999999999994"/>
    <n v="0.29873446563689698"/>
    <n v="-71.050000000000182"/>
    <s v="Below Target"/>
  </r>
  <r>
    <s v="ORD1355"/>
    <x v="223"/>
    <x v="1"/>
    <x v="2"/>
    <s v="Customer 085"/>
    <s v="Online"/>
    <x v="0"/>
    <s v="UltraBook 15"/>
    <n v="7"/>
    <n v="1061.92"/>
    <n v="0.03"/>
    <n v="7210.44"/>
    <n v="4921.3599999999997"/>
    <n v="6976.43"/>
    <n v="1100"/>
    <n v="2289.08"/>
    <n v="0.31746744997531356"/>
    <n v="234.00999999999931"/>
    <s v="Above Target"/>
  </r>
  <r>
    <s v="ORD1356"/>
    <x v="130"/>
    <x v="2"/>
    <x v="0"/>
    <s v="Customer 020"/>
    <s v="Online"/>
    <x v="1"/>
    <s v="Wireless Mouse"/>
    <n v="5"/>
    <n v="36.74"/>
    <n v="0.1"/>
    <n v="165.33"/>
    <n v="103.26"/>
    <n v="170.67"/>
    <n v="35"/>
    <n v="62.070000000000007"/>
    <n v="0.37543095626927964"/>
    <n v="-5.339999999999975"/>
    <s v="Below Target"/>
  </r>
  <r>
    <s v="ORD1357"/>
    <x v="201"/>
    <x v="1"/>
    <x v="2"/>
    <s v="Customer 033"/>
    <s v="Online"/>
    <x v="0"/>
    <s v="Business 13"/>
    <n v="6"/>
    <n v="948.93"/>
    <n v="0.1"/>
    <n v="5124.22"/>
    <n v="3342.42"/>
    <n v="4965.3"/>
    <n v="950"/>
    <n v="1781.8000000000002"/>
    <n v="0.34772121415552026"/>
    <n v="158.92000000000007"/>
    <s v="Above Target"/>
  </r>
  <r>
    <s v="ORD1358"/>
    <x v="61"/>
    <x v="1"/>
    <x v="3"/>
    <s v="Customer 033"/>
    <s v="Retail"/>
    <x v="2"/>
    <s v="Monitor 24"/>
    <n v="1"/>
    <n v="221.55"/>
    <n v="0"/>
    <n v="221.55"/>
    <n v="161.72"/>
    <n v="211.26"/>
    <n v="220"/>
    <n v="59.830000000000013"/>
    <n v="0.27005190701873172"/>
    <n v="10.29000000000002"/>
    <s v="Above Target"/>
  </r>
  <r>
    <s v="ORD1359"/>
    <x v="224"/>
    <x v="3"/>
    <x v="3"/>
    <s v="Customer 080"/>
    <s v="Distributor"/>
    <x v="1"/>
    <s v="Mechanical Keyboard"/>
    <n v="2"/>
    <n v="85.21"/>
    <n v="0.05"/>
    <n v="161.9"/>
    <n v="127.73"/>
    <n v="150.31"/>
    <n v="85"/>
    <n v="34.17"/>
    <n v="0.21105620753551577"/>
    <n v="11.590000000000003"/>
    <s v="Above Target"/>
  </r>
  <r>
    <s v="ORD1360"/>
    <x v="225"/>
    <x v="3"/>
    <x v="2"/>
    <s v="Customer 083"/>
    <s v="Distributor"/>
    <x v="3"/>
    <s v="OfficeJet Pro"/>
    <n v="8"/>
    <n v="335.77"/>
    <n v="0"/>
    <n v="2686.16"/>
    <n v="2032.77"/>
    <n v="2554.16"/>
    <n v="340"/>
    <n v="653.38999999999987"/>
    <n v="0.24324314262739372"/>
    <n v="132"/>
    <s v="Above Target"/>
  </r>
  <r>
    <s v="ORD1361"/>
    <x v="180"/>
    <x v="1"/>
    <x v="5"/>
    <s v="Customer 086"/>
    <s v="Retail"/>
    <x v="2"/>
    <s v="Monitor 24"/>
    <n v="7"/>
    <n v="227.69"/>
    <n v="0.02"/>
    <n v="1561.95"/>
    <n v="1254.96"/>
    <n v="1446.34"/>
    <n v="220"/>
    <n v="306.99"/>
    <n v="0.19654278305963699"/>
    <n v="115.61000000000013"/>
    <s v="Above Target"/>
  </r>
  <r>
    <s v="ORD1362"/>
    <x v="108"/>
    <x v="0"/>
    <x v="5"/>
    <s v="Customer 076"/>
    <s v="Corporate"/>
    <x v="0"/>
    <s v="UltraBook 15"/>
    <n v="2"/>
    <n v="1128.1600000000001"/>
    <n v="0.05"/>
    <n v="2143.5"/>
    <n v="1471.55"/>
    <n v="2099.62"/>
    <n v="1100"/>
    <n v="671.95"/>
    <n v="0.31348262188010267"/>
    <n v="43.880000000000109"/>
    <s v="Above Target"/>
  </r>
  <r>
    <s v="ORD1363"/>
    <x v="226"/>
    <x v="3"/>
    <x v="2"/>
    <s v="Customer 018"/>
    <s v="Online"/>
    <x v="3"/>
    <s v="OfficeJet Pro"/>
    <n v="14"/>
    <n v="337.83"/>
    <n v="0.05"/>
    <n v="4493.1400000000003"/>
    <n v="2870.09"/>
    <n v="4024.16"/>
    <n v="340"/>
    <n v="1623.0500000000002"/>
    <n v="0.3612284504822908"/>
    <n v="468.98000000000047"/>
    <s v="Above Target"/>
  </r>
  <r>
    <s v="ORD1364"/>
    <x v="206"/>
    <x v="1"/>
    <x v="2"/>
    <s v="Customer 099"/>
    <s v="Corporate"/>
    <x v="2"/>
    <s v="Monitor 24"/>
    <n v="12"/>
    <n v="213.41"/>
    <n v="0.08"/>
    <n v="2356.0500000000002"/>
    <n v="1434.67"/>
    <n v="2457.7399999999998"/>
    <n v="220"/>
    <n v="921.38000000000011"/>
    <n v="0.39106979902803424"/>
    <n v="-101.6899999999996"/>
    <s v="Below Target"/>
  </r>
  <r>
    <s v="ORD1365"/>
    <x v="93"/>
    <x v="0"/>
    <x v="1"/>
    <s v="Customer 073"/>
    <s v="Corporate"/>
    <x v="0"/>
    <s v="UltraBook 15"/>
    <n v="4"/>
    <n v="1138.27"/>
    <n v="0.08"/>
    <n v="4188.83"/>
    <n v="3266.64"/>
    <n v="3788.42"/>
    <n v="1100"/>
    <n v="922.19"/>
    <n v="0.22015455389691158"/>
    <n v="400.40999999999985"/>
    <s v="Above Target"/>
  </r>
  <r>
    <s v="ORD1366"/>
    <x v="227"/>
    <x v="3"/>
    <x v="0"/>
    <s v="Customer 018"/>
    <s v="Corporate"/>
    <x v="3"/>
    <s v="LaserJet M200"/>
    <n v="4"/>
    <n v="265.49"/>
    <n v="0.05"/>
    <n v="1008.86"/>
    <n v="796.86"/>
    <n v="1021.06"/>
    <n v="260"/>
    <n v="212"/>
    <n v="0.2101381757627421"/>
    <n v="-12.199999999999932"/>
    <s v="Below Target"/>
  </r>
  <r>
    <s v="ORD1367"/>
    <x v="146"/>
    <x v="1"/>
    <x v="0"/>
    <s v="Customer 034"/>
    <s v="Online"/>
    <x v="3"/>
    <s v="LaserJet M200"/>
    <n v="3"/>
    <n v="255.33"/>
    <n v="0.02"/>
    <n v="750.67"/>
    <n v="535.98"/>
    <n v="661.68"/>
    <n v="260"/>
    <n v="214.68999999999994"/>
    <n v="0.28599784192787769"/>
    <n v="88.990000000000009"/>
    <s v="Above Target"/>
  </r>
  <r>
    <s v="ORD1368"/>
    <x v="228"/>
    <x v="3"/>
    <x v="4"/>
    <s v="Customer 007"/>
    <s v="Distributor"/>
    <x v="1"/>
    <s v="Wireless Mouse"/>
    <n v="5"/>
    <n v="35.57"/>
    <n v="0.03"/>
    <n v="172.51"/>
    <n v="124.6"/>
    <n v="172.96"/>
    <n v="35"/>
    <n v="47.91"/>
    <n v="0.2777230305489537"/>
    <n v="-0.45000000000001705"/>
    <s v="Below Target"/>
  </r>
  <r>
    <s v="ORD1369"/>
    <x v="181"/>
    <x v="2"/>
    <x v="1"/>
    <s v="Customer 007"/>
    <s v="Retail"/>
    <x v="2"/>
    <s v="Monitor 24"/>
    <n v="14"/>
    <n v="217.36"/>
    <n v="0.05"/>
    <n v="2890.89"/>
    <n v="2279.35"/>
    <n v="2722.35"/>
    <n v="220"/>
    <n v="611.54"/>
    <n v="0.2115403906755359"/>
    <n v="168.53999999999996"/>
    <s v="Above Target"/>
  </r>
  <r>
    <s v="ORD1370"/>
    <x v="229"/>
    <x v="1"/>
    <x v="3"/>
    <s v="Customer 026"/>
    <s v="Corporate"/>
    <x v="3"/>
    <s v="LaserJet M200"/>
    <n v="6"/>
    <n v="271.24"/>
    <n v="0.1"/>
    <n v="1464.7"/>
    <n v="1036.3900000000001"/>
    <n v="1494.15"/>
    <n v="260"/>
    <n v="428.30999999999995"/>
    <n v="0.29242165631187267"/>
    <n v="-29.450000000000045"/>
    <s v="Below Target"/>
  </r>
  <r>
    <s v="ORD1371"/>
    <x v="230"/>
    <x v="1"/>
    <x v="5"/>
    <s v="Customer 036"/>
    <s v="Retail"/>
    <x v="1"/>
    <s v="USB-C Hub"/>
    <n v="11"/>
    <n v="57.31"/>
    <n v="0.03"/>
    <n v="611.5"/>
    <n v="368.04"/>
    <n v="548.04999999999995"/>
    <n v="60"/>
    <n v="243.45999999999998"/>
    <n v="0.39813573180703188"/>
    <n v="63.450000000000045"/>
    <s v="Above Target"/>
  </r>
  <r>
    <s v="ORD1372"/>
    <x v="160"/>
    <x v="3"/>
    <x v="1"/>
    <s v="Customer 113"/>
    <s v="Retail"/>
    <x v="2"/>
    <s v="Monitor 27"/>
    <n v="4"/>
    <n v="326.74"/>
    <n v="0.08"/>
    <n v="1202.4000000000001"/>
    <n v="882.99"/>
    <n v="1175.28"/>
    <n v="320"/>
    <n v="319.41000000000008"/>
    <n v="0.26564371257485037"/>
    <n v="27.120000000000118"/>
    <s v="Above Target"/>
  </r>
  <r>
    <s v="ORD1373"/>
    <x v="135"/>
    <x v="0"/>
    <x v="0"/>
    <s v="Customer 064"/>
    <s v="Retail"/>
    <x v="0"/>
    <s v="Business 13"/>
    <n v="7"/>
    <n v="984.02"/>
    <n v="0"/>
    <n v="6888.14"/>
    <n v="4207.08"/>
    <n v="7487.62"/>
    <n v="950"/>
    <n v="2681.0600000000004"/>
    <n v="0.38922844193062284"/>
    <n v="-599.47999999999956"/>
    <s v="Below Target"/>
  </r>
  <r>
    <s v="ORD1374"/>
    <x v="42"/>
    <x v="1"/>
    <x v="1"/>
    <s v="Customer 069"/>
    <s v="Retail"/>
    <x v="3"/>
    <s v="OfficeJet Pro"/>
    <n v="9"/>
    <n v="348.06"/>
    <n v="0.02"/>
    <n v="3069.89"/>
    <n v="2178.42"/>
    <n v="3197.98"/>
    <n v="340"/>
    <n v="891.4699999999998"/>
    <n v="0.29039151239946703"/>
    <n v="-128.09000000000015"/>
    <s v="Below Target"/>
  </r>
  <r>
    <s v="ORD1375"/>
    <x v="110"/>
    <x v="0"/>
    <x v="5"/>
    <s v="Customer 054"/>
    <s v="Retail"/>
    <x v="3"/>
    <s v="ColorJet X"/>
    <n v="15"/>
    <n v="429.04"/>
    <n v="0.08"/>
    <n v="5920.75"/>
    <n v="3683.83"/>
    <n v="5345.59"/>
    <n v="420"/>
    <n v="2236.92"/>
    <n v="0.37781024363467469"/>
    <n v="575.15999999999985"/>
    <s v="Above Target"/>
  </r>
  <r>
    <s v="ORD1376"/>
    <x v="231"/>
    <x v="2"/>
    <x v="5"/>
    <s v="Customer 021"/>
    <s v="Corporate"/>
    <x v="2"/>
    <s v="Monitor 27"/>
    <n v="12"/>
    <n v="332.99"/>
    <n v="0.1"/>
    <n v="3596.29"/>
    <n v="2493.69"/>
    <n v="3914.06"/>
    <n v="320"/>
    <n v="1102.5999999999999"/>
    <n v="0.30659373965948239"/>
    <n v="-317.77"/>
    <s v="Below Target"/>
  </r>
  <r>
    <s v="ORD1377"/>
    <x v="114"/>
    <x v="1"/>
    <x v="3"/>
    <s v="Customer 042"/>
    <s v="Retail"/>
    <x v="3"/>
    <s v="ColorJet X"/>
    <n v="4"/>
    <n v="435.74"/>
    <n v="0.03"/>
    <n v="1690.67"/>
    <n v="1277.3499999999999"/>
    <n v="1779.68"/>
    <n v="420"/>
    <n v="413.32000000000016"/>
    <n v="0.24447112683137462"/>
    <n v="-89.009999999999991"/>
    <s v="Below Target"/>
  </r>
  <r>
    <s v="ORD1378"/>
    <x v="13"/>
    <x v="2"/>
    <x v="4"/>
    <s v="Customer 038"/>
    <s v="Retail"/>
    <x v="3"/>
    <s v="ColorJet X"/>
    <n v="11"/>
    <n v="440.16"/>
    <n v="0.05"/>
    <n v="4599.67"/>
    <n v="3745.6"/>
    <n v="4409.37"/>
    <n v="420"/>
    <n v="854.07000000000016"/>
    <n v="0.18568071187715643"/>
    <n v="190.30000000000018"/>
    <s v="Above Target"/>
  </r>
  <r>
    <s v="ORD1379"/>
    <x v="232"/>
    <x v="1"/>
    <x v="4"/>
    <s v="Customer 052"/>
    <s v="Online"/>
    <x v="1"/>
    <s v="USB-C Hub"/>
    <n v="12"/>
    <n v="57.56"/>
    <n v="0.05"/>
    <n v="656.18"/>
    <n v="415.21"/>
    <n v="606.41"/>
    <n v="60"/>
    <n v="240.96999999999997"/>
    <n v="0.36723155231796151"/>
    <n v="49.769999999999982"/>
    <s v="Above Target"/>
  </r>
  <r>
    <s v="ORD1380"/>
    <x v="233"/>
    <x v="0"/>
    <x v="3"/>
    <s v="Customer 063"/>
    <s v="Distributor"/>
    <x v="2"/>
    <s v="Monitor 32"/>
    <n v="2"/>
    <n v="457.09"/>
    <n v="0.02"/>
    <n v="895.9"/>
    <n v="733.87"/>
    <n v="990.38"/>
    <n v="450"/>
    <n v="162.02999999999997"/>
    <n v="0.18085723853108604"/>
    <n v="-94.480000000000018"/>
    <s v="Below Target"/>
  </r>
  <r>
    <s v="ORD1381"/>
    <x v="234"/>
    <x v="1"/>
    <x v="0"/>
    <s v="Customer 075"/>
    <s v="Online"/>
    <x v="3"/>
    <s v="ColorJet X"/>
    <n v="13"/>
    <n v="419.86"/>
    <n v="0"/>
    <n v="5458.18"/>
    <n v="3515.68"/>
    <n v="5169.99"/>
    <n v="420"/>
    <n v="1942.5000000000005"/>
    <n v="0.35588786005591616"/>
    <n v="288.19000000000051"/>
    <s v="Above Target"/>
  </r>
  <r>
    <s v="ORD1382"/>
    <x v="38"/>
    <x v="0"/>
    <x v="5"/>
    <s v="Customer 045"/>
    <s v="Retail"/>
    <x v="0"/>
    <s v="Business 13"/>
    <n v="8"/>
    <n v="928.26"/>
    <n v="0.02"/>
    <n v="7277.56"/>
    <n v="5293.21"/>
    <n v="6928"/>
    <n v="950"/>
    <n v="1984.3500000000004"/>
    <n v="0.27266693781981877"/>
    <n v="349.5600000000004"/>
    <s v="Above Target"/>
  </r>
  <r>
    <s v="ORD1383"/>
    <x v="13"/>
    <x v="1"/>
    <x v="4"/>
    <s v="Customer 047"/>
    <s v="Retail"/>
    <x v="3"/>
    <s v="LaserJet M200"/>
    <n v="5"/>
    <n v="248.3"/>
    <n v="0.03"/>
    <n v="1204.25"/>
    <n v="815.34"/>
    <n v="1198.77"/>
    <n v="260"/>
    <n v="388.90999999999997"/>
    <n v="0.32294789287938547"/>
    <n v="5.4800000000000182"/>
    <s v="Above Target"/>
  </r>
  <r>
    <s v="ORD1384"/>
    <x v="235"/>
    <x v="0"/>
    <x v="1"/>
    <s v="Customer 077"/>
    <s v="Corporate"/>
    <x v="3"/>
    <s v="ColorJet X"/>
    <n v="14"/>
    <n v="411.53"/>
    <n v="0"/>
    <n v="5761.42"/>
    <n v="4374.12"/>
    <n v="5699.17"/>
    <n v="420"/>
    <n v="1387.3000000000002"/>
    <n v="0.2407913326922877"/>
    <n v="62.25"/>
    <s v="Above Target"/>
  </r>
  <r>
    <s v="ORD1385"/>
    <x v="226"/>
    <x v="2"/>
    <x v="2"/>
    <s v="Customer 074"/>
    <s v="Distributor"/>
    <x v="0"/>
    <s v="ProBook 14"/>
    <n v="1"/>
    <n v="810.87"/>
    <n v="0.08"/>
    <n v="746"/>
    <n v="463.56"/>
    <n v="772.29"/>
    <n v="850"/>
    <n v="282.44"/>
    <n v="0.3786058981233244"/>
    <n v="-26.289999999999964"/>
    <s v="Below Target"/>
  </r>
  <r>
    <s v="ORD1386"/>
    <x v="219"/>
    <x v="0"/>
    <x v="3"/>
    <s v="Customer 001"/>
    <s v="Corporate"/>
    <x v="2"/>
    <s v="Monitor 32"/>
    <n v="12"/>
    <n v="457.34"/>
    <n v="0.02"/>
    <n v="5378.32"/>
    <n v="3652.29"/>
    <n v="5588.39"/>
    <n v="450"/>
    <n v="1726.0299999999997"/>
    <n v="0.32092363414597863"/>
    <n v="-210.07000000000062"/>
    <s v="Below Target"/>
  </r>
  <r>
    <s v="ORD1387"/>
    <x v="181"/>
    <x v="0"/>
    <x v="3"/>
    <s v="Customer 060"/>
    <s v="Retail"/>
    <x v="0"/>
    <s v="Business 13"/>
    <n v="5"/>
    <n v="911.43"/>
    <n v="0.02"/>
    <n v="4466.01"/>
    <n v="2794.63"/>
    <n v="4461.8599999999997"/>
    <n v="950"/>
    <n v="1671.38"/>
    <n v="0.37424457177659703"/>
    <n v="4.1500000000005457"/>
    <s v="Above Target"/>
  </r>
  <r>
    <s v="ORD1388"/>
    <x v="236"/>
    <x v="3"/>
    <x v="0"/>
    <s v="Customer 027"/>
    <s v="Retail"/>
    <x v="1"/>
    <s v="Webcam HD"/>
    <n v="9"/>
    <n v="71.569999999999993"/>
    <n v="0.03"/>
    <n v="624.80999999999995"/>
    <n v="425.32"/>
    <n v="579.48"/>
    <n v="75"/>
    <n v="199.48999999999995"/>
    <n v="0.31928106144267854"/>
    <n v="45.329999999999927"/>
    <s v="Above Target"/>
  </r>
  <r>
    <s v="ORD1389"/>
    <x v="20"/>
    <x v="0"/>
    <x v="2"/>
    <s v="Customer 102"/>
    <s v="Retail"/>
    <x v="3"/>
    <s v="OfficeJet Pro"/>
    <n v="14"/>
    <n v="341.18"/>
    <n v="0.02"/>
    <n v="4680.99"/>
    <n v="3725.76"/>
    <n v="4136.25"/>
    <n v="340"/>
    <n v="955.22999999999956"/>
    <n v="0.20406580659219517"/>
    <n v="544.73999999999978"/>
    <s v="Above Target"/>
  </r>
  <r>
    <s v="ORD1390"/>
    <x v="237"/>
    <x v="0"/>
    <x v="2"/>
    <s v="Customer 051"/>
    <s v="Online"/>
    <x v="3"/>
    <s v="OfficeJet Pro"/>
    <n v="4"/>
    <n v="325.95999999999998"/>
    <n v="0.02"/>
    <n v="1277.76"/>
    <n v="809.85"/>
    <n v="1205.44"/>
    <n v="340"/>
    <n v="467.90999999999997"/>
    <n v="0.36619552967693464"/>
    <n v="72.319999999999936"/>
    <s v="Above Target"/>
  </r>
  <r>
    <s v="ORD1391"/>
    <x v="139"/>
    <x v="0"/>
    <x v="1"/>
    <s v="Customer 010"/>
    <s v="Distributor"/>
    <x v="1"/>
    <s v="Webcam HD"/>
    <n v="15"/>
    <n v="72.16"/>
    <n v="0.1"/>
    <n v="974.16"/>
    <n v="708.48"/>
    <n v="911.95"/>
    <n v="75"/>
    <n v="265.67999999999995"/>
    <n v="0.27272727272727271"/>
    <n v="62.209999999999923"/>
    <s v="Above Target"/>
  </r>
  <r>
    <s v="ORD1392"/>
    <x v="238"/>
    <x v="0"/>
    <x v="2"/>
    <s v="Customer 076"/>
    <s v="Retail"/>
    <x v="0"/>
    <s v="ProBook 14"/>
    <n v="4"/>
    <n v="860.05"/>
    <n v="0.1"/>
    <n v="3096.18"/>
    <n v="1976.71"/>
    <n v="2950.24"/>
    <n v="850"/>
    <n v="1119.4699999999998"/>
    <n v="0.36156489609777204"/>
    <n v="145.94000000000005"/>
    <s v="Above Target"/>
  </r>
  <r>
    <s v="ORD1393"/>
    <x v="68"/>
    <x v="2"/>
    <x v="4"/>
    <s v="Customer 066"/>
    <s v="Retail"/>
    <x v="2"/>
    <s v="Monitor 32"/>
    <n v="15"/>
    <n v="446.04"/>
    <n v="0.05"/>
    <n v="6356.07"/>
    <n v="3858.72"/>
    <n v="6796.34"/>
    <n v="450"/>
    <n v="2497.35"/>
    <n v="0.39290788175712349"/>
    <n v="-440.27000000000044"/>
    <s v="Below Target"/>
  </r>
  <r>
    <s v="ORD1394"/>
    <x v="13"/>
    <x v="1"/>
    <x v="4"/>
    <s v="Customer 009"/>
    <s v="Online"/>
    <x v="3"/>
    <s v="ColorJet X"/>
    <n v="6"/>
    <n v="431.35"/>
    <n v="0.02"/>
    <n v="2536.34"/>
    <n v="1632.4"/>
    <n v="2365.6799999999998"/>
    <n v="420"/>
    <n v="903.94"/>
    <n v="0.35639543594313067"/>
    <n v="170.66000000000031"/>
    <s v="Above Target"/>
  </r>
  <r>
    <s v="ORD1395"/>
    <x v="239"/>
    <x v="0"/>
    <x v="1"/>
    <s v="Customer 111"/>
    <s v="Online"/>
    <x v="0"/>
    <s v="ProBook 14"/>
    <n v="8"/>
    <n v="852.17"/>
    <n v="0.03"/>
    <n v="6612.84"/>
    <n v="5288.82"/>
    <n v="7011.93"/>
    <n v="850"/>
    <n v="1324.0200000000004"/>
    <n v="0.20021957283103786"/>
    <n v="-399.09000000000015"/>
    <s v="Below Target"/>
  </r>
  <r>
    <s v="ORD1396"/>
    <x v="95"/>
    <x v="3"/>
    <x v="4"/>
    <s v="Customer 099"/>
    <s v="Corporate"/>
    <x v="3"/>
    <s v="ColorJet X"/>
    <n v="7"/>
    <n v="402.88"/>
    <n v="0.1"/>
    <n v="2538.14"/>
    <n v="2065.2800000000002"/>
    <n v="2588.56"/>
    <n v="420"/>
    <n v="472.85999999999967"/>
    <n v="0.18630178004365389"/>
    <n v="-50.420000000000073"/>
    <s v="Below Target"/>
  </r>
  <r>
    <s v="ORD1397"/>
    <x v="189"/>
    <x v="2"/>
    <x v="2"/>
    <s v="Customer 050"/>
    <s v="Distributor"/>
    <x v="2"/>
    <s v="Monitor 27"/>
    <n v="14"/>
    <n v="326.2"/>
    <n v="0.03"/>
    <n v="4429.8"/>
    <n v="3539.64"/>
    <n v="4690.2299999999996"/>
    <n v="320"/>
    <n v="890.16000000000031"/>
    <n v="0.20094812406880677"/>
    <n v="-260.42999999999938"/>
    <s v="Below Target"/>
  </r>
  <r>
    <s v="ORD1398"/>
    <x v="240"/>
    <x v="1"/>
    <x v="1"/>
    <s v="Customer 031"/>
    <s v="Retail"/>
    <x v="1"/>
    <s v="USB-C Hub"/>
    <n v="11"/>
    <n v="62.68"/>
    <n v="0"/>
    <n v="689.48"/>
    <n v="424.01"/>
    <n v="736.34"/>
    <n v="60"/>
    <n v="265.47000000000003"/>
    <n v="0.38502929744155018"/>
    <n v="-46.860000000000014"/>
    <s v="Below Target"/>
  </r>
  <r>
    <s v="ORD1399"/>
    <x v="241"/>
    <x v="0"/>
    <x v="2"/>
    <s v="Customer 085"/>
    <s v="Corporate"/>
    <x v="1"/>
    <s v="Mechanical Keyboard"/>
    <n v="9"/>
    <n v="82.76"/>
    <n v="0.05"/>
    <n v="707.6"/>
    <n v="514.07000000000005"/>
    <n v="781.18"/>
    <n v="85"/>
    <n v="193.52999999999997"/>
    <n v="0.27350197851893721"/>
    <n v="-73.579999999999927"/>
    <s v="Below Target"/>
  </r>
  <r>
    <s v="ORD1400"/>
    <x v="142"/>
    <x v="1"/>
    <x v="4"/>
    <s v="Customer 077"/>
    <s v="Corporate"/>
    <x v="3"/>
    <s v="LaserJet M200"/>
    <n v="13"/>
    <n v="271.48"/>
    <n v="0.05"/>
    <n v="3352.78"/>
    <n v="2311.3200000000002"/>
    <n v="3020.53"/>
    <n v="260"/>
    <n v="1041.46"/>
    <n v="0.31062580903011827"/>
    <n v="332.25"/>
    <s v="Above Target"/>
  </r>
  <r>
    <s v="ORD1401"/>
    <x v="242"/>
    <x v="3"/>
    <x v="2"/>
    <s v="Customer 053"/>
    <s v="Distributor"/>
    <x v="0"/>
    <s v="ProBook 14"/>
    <n v="5"/>
    <n v="849.07"/>
    <n v="0"/>
    <n v="4245.3500000000004"/>
    <n v="3435.41"/>
    <n v="4630.7"/>
    <n v="850"/>
    <n v="809.94000000000051"/>
    <n v="0.19078285653715252"/>
    <n v="-385.34999999999945"/>
    <s v="Below Target"/>
  </r>
  <r>
    <s v="ORD1402"/>
    <x v="243"/>
    <x v="0"/>
    <x v="3"/>
    <s v="Customer 043"/>
    <s v="Online"/>
    <x v="0"/>
    <s v="Business 13"/>
    <n v="6"/>
    <n v="954.31"/>
    <n v="0"/>
    <n v="5725.86"/>
    <n v="3881.09"/>
    <n v="6199.33"/>
    <n v="950"/>
    <n v="1844.7699999999995"/>
    <n v="0.32218217001463528"/>
    <n v="-473.47000000000025"/>
    <s v="Below Target"/>
  </r>
  <r>
    <s v="ORD1403"/>
    <x v="34"/>
    <x v="0"/>
    <x v="1"/>
    <s v="Customer 088"/>
    <s v="Online"/>
    <x v="0"/>
    <s v="Business 13"/>
    <n v="12"/>
    <n v="987.01"/>
    <n v="0.05"/>
    <n v="11251.91"/>
    <n v="8387.4"/>
    <n v="12081.31"/>
    <n v="950"/>
    <n v="2864.51"/>
    <n v="0.25457988910327228"/>
    <n v="-829.39999999999964"/>
    <s v="Below Target"/>
  </r>
  <r>
    <s v="ORD1404"/>
    <x v="244"/>
    <x v="3"/>
    <x v="3"/>
    <s v="Customer 064"/>
    <s v="Distributor"/>
    <x v="0"/>
    <s v="Business 13"/>
    <n v="7"/>
    <n v="928.29"/>
    <n v="0.02"/>
    <n v="6368.07"/>
    <n v="4328.5200000000004"/>
    <n v="5946.56"/>
    <n v="950"/>
    <n v="2039.5499999999993"/>
    <n v="0.32027757232568099"/>
    <n v="421.50999999999931"/>
    <s v="Above Target"/>
  </r>
  <r>
    <s v="ORD1405"/>
    <x v="245"/>
    <x v="2"/>
    <x v="5"/>
    <s v="Customer 032"/>
    <s v="Corporate"/>
    <x v="3"/>
    <s v="ColorJet X"/>
    <n v="10"/>
    <n v="406.96"/>
    <n v="0.02"/>
    <n v="3988.21"/>
    <n v="2735.94"/>
    <n v="3518.3"/>
    <n v="420"/>
    <n v="1252.27"/>
    <n v="0.3139929943508491"/>
    <n v="469.90999999999985"/>
    <s v="Above Target"/>
  </r>
  <r>
    <s v="ORD1406"/>
    <x v="144"/>
    <x v="3"/>
    <x v="1"/>
    <s v="Customer 119"/>
    <s v="Distributor"/>
    <x v="3"/>
    <s v="ColorJet X"/>
    <n v="11"/>
    <n v="409.53"/>
    <n v="0.03"/>
    <n v="4369.6899999999996"/>
    <n v="3271.91"/>
    <n v="4877.82"/>
    <n v="420"/>
    <n v="1097.7799999999997"/>
    <n v="0.25122605951451932"/>
    <n v="-508.13000000000011"/>
    <s v="Below Target"/>
  </r>
  <r>
    <s v="ORD1407"/>
    <x v="246"/>
    <x v="1"/>
    <x v="3"/>
    <s v="Customer 085"/>
    <s v="Corporate"/>
    <x v="1"/>
    <s v="Wireless Mouse"/>
    <n v="2"/>
    <n v="35.049999999999997"/>
    <n v="0.03"/>
    <n v="68"/>
    <n v="47.44"/>
    <n v="75.47"/>
    <n v="35"/>
    <n v="20.560000000000002"/>
    <n v="0.3023529411764706"/>
    <n v="-7.4699999999999989"/>
    <s v="Below Target"/>
  </r>
  <r>
    <s v="ORD1408"/>
    <x v="213"/>
    <x v="0"/>
    <x v="5"/>
    <s v="Customer 113"/>
    <s v="Online"/>
    <x v="3"/>
    <s v="ColorJet X"/>
    <n v="11"/>
    <n v="401.51"/>
    <n v="0.1"/>
    <n v="3974.95"/>
    <n v="2820.57"/>
    <n v="3844.94"/>
    <n v="420"/>
    <n v="1154.3799999999997"/>
    <n v="0.29041371589579734"/>
    <n v="130.00999999999976"/>
    <s v="Above Target"/>
  </r>
  <r>
    <s v="ORD1409"/>
    <x v="247"/>
    <x v="3"/>
    <x v="5"/>
    <s v="Customer 042"/>
    <s v="Corporate"/>
    <x v="1"/>
    <s v="Wireless Mouse"/>
    <n v="8"/>
    <n v="34.340000000000003"/>
    <n v="0.08"/>
    <n v="252.74"/>
    <n v="201.19"/>
    <n v="266.62"/>
    <n v="35"/>
    <n v="51.550000000000011"/>
    <n v="0.2039645485479149"/>
    <n v="-13.879999999999995"/>
    <s v="Below Target"/>
  </r>
  <r>
    <s v="ORD1410"/>
    <x v="170"/>
    <x v="0"/>
    <x v="2"/>
    <s v="Customer 023"/>
    <s v="Distributor"/>
    <x v="0"/>
    <s v="ProBook 14"/>
    <n v="15"/>
    <n v="883.27"/>
    <n v="0.02"/>
    <n v="12984.07"/>
    <n v="8326.49"/>
    <n v="14286.63"/>
    <n v="850"/>
    <n v="4657.58"/>
    <n v="0.35871494839445567"/>
    <n v="-1302.5599999999995"/>
    <s v="Below Target"/>
  </r>
  <r>
    <s v="ORD1411"/>
    <x v="120"/>
    <x v="3"/>
    <x v="4"/>
    <s v="Customer 011"/>
    <s v="Corporate"/>
    <x v="3"/>
    <s v="ColorJet X"/>
    <n v="4"/>
    <n v="411.23"/>
    <n v="0.08"/>
    <n v="1513.33"/>
    <n v="916.59"/>
    <n v="1530.84"/>
    <n v="420"/>
    <n v="596.7399999999999"/>
    <n v="0.39432245445474545"/>
    <n v="-17.509999999999991"/>
    <s v="Below Target"/>
  </r>
  <r>
    <s v="ORD1412"/>
    <x v="51"/>
    <x v="3"/>
    <x v="5"/>
    <s v="Customer 102"/>
    <s v="Distributor"/>
    <x v="3"/>
    <s v="OfficeJet Pro"/>
    <n v="6"/>
    <n v="346.49"/>
    <n v="0.03"/>
    <n v="2016.57"/>
    <n v="1353.77"/>
    <n v="2177.98"/>
    <n v="340"/>
    <n v="662.8"/>
    <n v="0.32867691178585418"/>
    <n v="-161.41000000000008"/>
    <s v="Below Target"/>
  </r>
  <r>
    <s v="ORD1413"/>
    <x v="143"/>
    <x v="2"/>
    <x v="4"/>
    <s v="Customer 040"/>
    <s v="Online"/>
    <x v="2"/>
    <s v="Monitor 24"/>
    <n v="9"/>
    <n v="226.76"/>
    <n v="0"/>
    <n v="2040.84"/>
    <n v="1297.31"/>
    <n v="2157.58"/>
    <n v="220"/>
    <n v="743.53"/>
    <n v="0.36432547382450364"/>
    <n v="-116.74000000000001"/>
    <s v="Below Target"/>
  </r>
  <r>
    <s v="ORD1414"/>
    <x v="241"/>
    <x v="1"/>
    <x v="2"/>
    <s v="Customer 026"/>
    <s v="Distributor"/>
    <x v="2"/>
    <s v="Monitor 27"/>
    <n v="7"/>
    <n v="328.87"/>
    <n v="0.03"/>
    <n v="2233.0300000000002"/>
    <n v="1812.48"/>
    <n v="2065.36"/>
    <n v="320"/>
    <n v="420.55000000000018"/>
    <n v="0.18833154950896322"/>
    <n v="167.67000000000007"/>
    <s v="Above Target"/>
  </r>
  <r>
    <s v="ORD1415"/>
    <x v="160"/>
    <x v="3"/>
    <x v="3"/>
    <s v="Customer 015"/>
    <s v="Retail"/>
    <x v="1"/>
    <s v="Wireless Mouse"/>
    <n v="2"/>
    <n v="35.64"/>
    <n v="0.03"/>
    <n v="69.14"/>
    <n v="47.48"/>
    <n v="67.239999999999995"/>
    <n v="35"/>
    <n v="21.660000000000004"/>
    <n v="0.31327740815736194"/>
    <n v="1.9000000000000057"/>
    <s v="Above Target"/>
  </r>
  <r>
    <s v="ORD1416"/>
    <x v="248"/>
    <x v="0"/>
    <x v="1"/>
    <s v="Customer 036"/>
    <s v="Corporate"/>
    <x v="1"/>
    <s v="Mechanical Keyboard"/>
    <n v="9"/>
    <n v="87.87"/>
    <n v="0.1"/>
    <n v="711.75"/>
    <n v="452.08"/>
    <n v="778.79"/>
    <n v="85"/>
    <n v="259.67"/>
    <n v="0.36483315770987007"/>
    <n v="-67.039999999999964"/>
    <s v="Below Target"/>
  </r>
  <r>
    <s v="ORD1417"/>
    <x v="197"/>
    <x v="3"/>
    <x v="0"/>
    <s v="Customer 104"/>
    <s v="Distributor"/>
    <x v="1"/>
    <s v="USB-C Hub"/>
    <n v="14"/>
    <n v="61.02"/>
    <n v="0"/>
    <n v="854.28"/>
    <n v="564.33000000000004"/>
    <n v="826.14"/>
    <n v="60"/>
    <n v="289.94999999999993"/>
    <n v="0.33940862480685485"/>
    <n v="28.139999999999986"/>
    <s v="Above Target"/>
  </r>
  <r>
    <s v="ORD1418"/>
    <x v="249"/>
    <x v="1"/>
    <x v="3"/>
    <s v="Customer 078"/>
    <s v="Distributor"/>
    <x v="0"/>
    <s v="UltraBook 15"/>
    <n v="5"/>
    <n v="1094.46"/>
    <n v="0"/>
    <n v="5472.3"/>
    <n v="3333.14"/>
    <n v="5901.3"/>
    <n v="1100"/>
    <n v="2139.1600000000003"/>
    <n v="0.3909069312720429"/>
    <n v="-429"/>
    <s v="Below Target"/>
  </r>
  <r>
    <s v="ORD1419"/>
    <x v="224"/>
    <x v="3"/>
    <x v="4"/>
    <s v="Customer 015"/>
    <s v="Distributor"/>
    <x v="2"/>
    <s v="Monitor 24"/>
    <n v="15"/>
    <n v="210.54"/>
    <n v="0.08"/>
    <n v="2905.45"/>
    <n v="1804.89"/>
    <n v="2977.11"/>
    <n v="220"/>
    <n v="1100.5599999999997"/>
    <n v="0.37879158133851892"/>
    <n v="-71.660000000000309"/>
    <s v="Below Target"/>
  </r>
  <r>
    <s v="ORD1420"/>
    <x v="124"/>
    <x v="3"/>
    <x v="2"/>
    <s v="Customer 108"/>
    <s v="Distributor"/>
    <x v="3"/>
    <s v="LaserJet M200"/>
    <n v="3"/>
    <n v="272.14999999999998"/>
    <n v="0.1"/>
    <n v="734.8"/>
    <n v="560.89"/>
    <n v="667.4"/>
    <n v="260"/>
    <n v="173.90999999999997"/>
    <n v="0.23667664670658681"/>
    <n v="67.399999999999977"/>
    <s v="Above Target"/>
  </r>
  <r>
    <s v="ORD1421"/>
    <x v="250"/>
    <x v="2"/>
    <x v="0"/>
    <s v="Customer 095"/>
    <s v="Corporate"/>
    <x v="1"/>
    <s v="Wireless Mouse"/>
    <n v="8"/>
    <n v="36.07"/>
    <n v="0.03"/>
    <n v="279.89999999999998"/>
    <n v="221.21"/>
    <n v="294.14999999999998"/>
    <n v="35"/>
    <n v="58.689999999999969"/>
    <n v="0.2096820292961771"/>
    <n v="-14.25"/>
    <s v="Below Target"/>
  </r>
  <r>
    <s v="ORD1422"/>
    <x v="251"/>
    <x v="0"/>
    <x v="0"/>
    <s v="Customer 086"/>
    <s v="Retail"/>
    <x v="2"/>
    <s v="Monitor 27"/>
    <n v="3"/>
    <n v="310.82"/>
    <n v="0.1"/>
    <n v="839.21"/>
    <n v="515.70000000000005"/>
    <n v="821.73"/>
    <n v="320"/>
    <n v="323.51"/>
    <n v="0.38549349983913439"/>
    <n v="17.480000000000018"/>
    <s v="Above Target"/>
  </r>
  <r>
    <s v="ORD1423"/>
    <x v="2"/>
    <x v="2"/>
    <x v="1"/>
    <s v="Customer 029"/>
    <s v="Retail"/>
    <x v="1"/>
    <s v="Wireless Mouse"/>
    <n v="7"/>
    <n v="34"/>
    <n v="0.1"/>
    <n v="214.2"/>
    <n v="141.41999999999999"/>
    <n v="231.93"/>
    <n v="35"/>
    <n v="72.78"/>
    <n v="0.33977591036414567"/>
    <n v="-17.730000000000018"/>
    <s v="Below Target"/>
  </r>
  <r>
    <s v="ORD1424"/>
    <x v="141"/>
    <x v="3"/>
    <x v="3"/>
    <s v="Customer 017"/>
    <s v="Corporate"/>
    <x v="0"/>
    <s v="UltraBook 15"/>
    <n v="15"/>
    <n v="1076.0899999999999"/>
    <n v="0"/>
    <n v="16141.35"/>
    <n v="12323.31"/>
    <n v="17384.8"/>
    <n v="1100"/>
    <n v="3818.0400000000009"/>
    <n v="0.23653783605460516"/>
    <n v="-1243.4499999999989"/>
    <s v="Below Target"/>
  </r>
  <r>
    <s v="ORD1425"/>
    <x v="252"/>
    <x v="2"/>
    <x v="1"/>
    <s v="Customer 040"/>
    <s v="Online"/>
    <x v="2"/>
    <s v="Monitor 27"/>
    <n v="12"/>
    <n v="306.14999999999998"/>
    <n v="0.08"/>
    <n v="3379.9"/>
    <n v="2477.69"/>
    <n v="3387.26"/>
    <n v="320"/>
    <n v="902.21"/>
    <n v="0.26693393295659634"/>
    <n v="-7.3600000000001273"/>
    <s v="Below Target"/>
  </r>
  <r>
    <s v="ORD1426"/>
    <x v="204"/>
    <x v="0"/>
    <x v="5"/>
    <s v="Customer 108"/>
    <s v="Distributor"/>
    <x v="3"/>
    <s v="LaserJet M200"/>
    <n v="10"/>
    <n v="272.35000000000002"/>
    <n v="0"/>
    <n v="2723.5"/>
    <n v="1849.63"/>
    <n v="2853.86"/>
    <n v="260"/>
    <n v="873.86999999999989"/>
    <n v="0.32086286029006789"/>
    <n v="-130.36000000000013"/>
    <s v="Below Target"/>
  </r>
  <r>
    <s v="ORD1427"/>
    <x v="208"/>
    <x v="3"/>
    <x v="0"/>
    <s v="Customer 072"/>
    <s v="Online"/>
    <x v="0"/>
    <s v="ProBook 14"/>
    <n v="8"/>
    <n v="860.99"/>
    <n v="0.02"/>
    <n v="6750.16"/>
    <n v="4713.72"/>
    <n v="6755.62"/>
    <n v="850"/>
    <n v="2036.4399999999996"/>
    <n v="0.30168766369982336"/>
    <n v="-5.4600000000000364"/>
    <s v="Below Target"/>
  </r>
  <r>
    <s v="ORD1428"/>
    <x v="164"/>
    <x v="1"/>
    <x v="3"/>
    <s v="Customer 068"/>
    <s v="Retail"/>
    <x v="1"/>
    <s v="USB-C Hub"/>
    <n v="14"/>
    <n v="59.81"/>
    <n v="0.05"/>
    <n v="795.47"/>
    <n v="516.57000000000005"/>
    <n v="820.18"/>
    <n v="60"/>
    <n v="278.89999999999998"/>
    <n v="0.3506103309992834"/>
    <n v="-24.709999999999923"/>
    <s v="Below Target"/>
  </r>
  <r>
    <s v="ORD1429"/>
    <x v="208"/>
    <x v="0"/>
    <x v="1"/>
    <s v="Customer 100"/>
    <s v="Retail"/>
    <x v="1"/>
    <s v="USB-C Hub"/>
    <n v="13"/>
    <n v="61.92"/>
    <n v="0.03"/>
    <n v="780.81"/>
    <n v="612.67999999999995"/>
    <n v="838.66"/>
    <n v="60"/>
    <n v="168.13"/>
    <n v="0.21532767254517746"/>
    <n v="-57.850000000000023"/>
    <s v="Below Target"/>
  </r>
  <r>
    <s v="ORD1430"/>
    <x v="155"/>
    <x v="0"/>
    <x v="0"/>
    <s v="Customer 015"/>
    <s v="Corporate"/>
    <x v="3"/>
    <s v="ColorJet X"/>
    <n v="9"/>
    <n v="410.26"/>
    <n v="0.03"/>
    <n v="3581.57"/>
    <n v="2198.63"/>
    <n v="3693.32"/>
    <n v="420"/>
    <n v="1382.94"/>
    <n v="0.38612675446801265"/>
    <n v="-111.75"/>
    <s v="Below Target"/>
  </r>
  <r>
    <s v="ORD1431"/>
    <x v="94"/>
    <x v="1"/>
    <x v="0"/>
    <s v="Customer 043"/>
    <s v="Distributor"/>
    <x v="1"/>
    <s v="USB-C Hub"/>
    <n v="10"/>
    <n v="59.45"/>
    <n v="0.1"/>
    <n v="535.04999999999995"/>
    <n v="423.16"/>
    <n v="598.70000000000005"/>
    <n v="60"/>
    <n v="111.88999999999993"/>
    <n v="0.20912064293056712"/>
    <n v="-63.650000000000091"/>
    <s v="Below Target"/>
  </r>
  <r>
    <s v="ORD1432"/>
    <x v="222"/>
    <x v="3"/>
    <x v="1"/>
    <s v="Customer 044"/>
    <s v="Retail"/>
    <x v="3"/>
    <s v="LaserJet M200"/>
    <n v="8"/>
    <n v="261.97000000000003"/>
    <n v="0.05"/>
    <n v="1990.97"/>
    <n v="1393.43"/>
    <n v="2078.25"/>
    <n v="260"/>
    <n v="597.54"/>
    <n v="0.30012506466697136"/>
    <n v="-87.279999999999973"/>
    <s v="Below Target"/>
  </r>
  <r>
    <s v="ORD1433"/>
    <x v="55"/>
    <x v="0"/>
    <x v="2"/>
    <s v="Customer 100"/>
    <s v="Retail"/>
    <x v="1"/>
    <s v="Wireless Mouse"/>
    <n v="3"/>
    <n v="34.24"/>
    <n v="0.02"/>
    <n v="100.67"/>
    <n v="62.1"/>
    <n v="110.27"/>
    <n v="35"/>
    <n v="38.57"/>
    <n v="0.38313300884076684"/>
    <n v="-9.5999999999999943"/>
    <s v="Below Target"/>
  </r>
  <r>
    <s v="ORD1434"/>
    <x v="253"/>
    <x v="1"/>
    <x v="4"/>
    <s v="Customer 101"/>
    <s v="Online"/>
    <x v="3"/>
    <s v="OfficeJet Pro"/>
    <n v="4"/>
    <n v="349.29"/>
    <n v="0.02"/>
    <n v="1369.22"/>
    <n v="990.3"/>
    <n v="1435.35"/>
    <n v="340"/>
    <n v="378.92000000000007"/>
    <n v="0.27674150246125534"/>
    <n v="-66.129999999999882"/>
    <s v="Below Target"/>
  </r>
  <r>
    <s v="ORD1435"/>
    <x v="252"/>
    <x v="1"/>
    <x v="0"/>
    <s v="Customer 046"/>
    <s v="Retail"/>
    <x v="3"/>
    <s v="OfficeJet Pro"/>
    <n v="1"/>
    <n v="325.13"/>
    <n v="0.02"/>
    <n v="318.63"/>
    <n v="220.47"/>
    <n v="344.28"/>
    <n v="340"/>
    <n v="98.16"/>
    <n v="0.30806892006402409"/>
    <n v="-25.649999999999977"/>
    <s v="Below Target"/>
  </r>
  <r>
    <s v="ORD1436"/>
    <x v="144"/>
    <x v="1"/>
    <x v="2"/>
    <s v="Customer 116"/>
    <s v="Online"/>
    <x v="3"/>
    <s v="LaserJet M200"/>
    <n v="6"/>
    <n v="272.77999999999997"/>
    <n v="0.03"/>
    <n v="1587.58"/>
    <n v="989.31"/>
    <n v="1678.78"/>
    <n v="260"/>
    <n v="598.27"/>
    <n v="0.376844001562126"/>
    <n v="-91.200000000000045"/>
    <s v="Below Target"/>
  </r>
  <r>
    <s v="ORD1437"/>
    <x v="127"/>
    <x v="3"/>
    <x v="5"/>
    <s v="Customer 117"/>
    <s v="Distributor"/>
    <x v="3"/>
    <s v="ColorJet X"/>
    <n v="2"/>
    <n v="413.4"/>
    <n v="0.02"/>
    <n v="810.26"/>
    <n v="551.02"/>
    <n v="884.98"/>
    <n v="420"/>
    <n v="259.24"/>
    <n v="0.31994668378051488"/>
    <n v="-74.720000000000027"/>
    <s v="Below Target"/>
  </r>
  <r>
    <s v="ORD1438"/>
    <x v="254"/>
    <x v="1"/>
    <x v="0"/>
    <s v="Customer 050"/>
    <s v="Retail"/>
    <x v="1"/>
    <s v="Mechanical Keyboard"/>
    <n v="15"/>
    <n v="87.74"/>
    <n v="0.02"/>
    <n v="1289.78"/>
    <n v="1015.05"/>
    <n v="1298.54"/>
    <n v="85"/>
    <n v="274.73"/>
    <n v="0.21300531873652873"/>
    <n v="-8.7599999999999909"/>
    <s v="Below Target"/>
  </r>
  <r>
    <s v="ORD1439"/>
    <x v="255"/>
    <x v="3"/>
    <x v="4"/>
    <s v="Customer 093"/>
    <s v="Corporate"/>
    <x v="2"/>
    <s v="Monitor 27"/>
    <n v="11"/>
    <n v="304.68"/>
    <n v="0.02"/>
    <n v="3284.45"/>
    <n v="2483.86"/>
    <n v="3635.48"/>
    <n v="320"/>
    <n v="800.58999999999969"/>
    <n v="0.24375161747020041"/>
    <n v="-351.0300000000002"/>
    <s v="Below Target"/>
  </r>
  <r>
    <s v="ORD1440"/>
    <x v="218"/>
    <x v="3"/>
    <x v="5"/>
    <s v="Customer 002"/>
    <s v="Online"/>
    <x v="3"/>
    <s v="ColorJet X"/>
    <n v="15"/>
    <n v="434.34"/>
    <n v="0.02"/>
    <n v="6384.8"/>
    <n v="4025.17"/>
    <n v="5788.91"/>
    <n v="420"/>
    <n v="2359.63"/>
    <n v="0.36956991605062023"/>
    <n v="595.89000000000033"/>
    <s v="Above Target"/>
  </r>
  <r>
    <s v="ORD1441"/>
    <x v="210"/>
    <x v="1"/>
    <x v="3"/>
    <s v="Customer 080"/>
    <s v="Corporate"/>
    <x v="3"/>
    <s v="ColorJet X"/>
    <n v="1"/>
    <n v="407.57"/>
    <n v="0.08"/>
    <n v="374.96"/>
    <n v="269.04000000000002"/>
    <n v="336.35"/>
    <n v="420"/>
    <n v="105.91999999999996"/>
    <n v="0.28248346490292287"/>
    <n v="38.609999999999957"/>
    <s v="Above Target"/>
  </r>
  <r>
    <s v="ORD1442"/>
    <x v="59"/>
    <x v="3"/>
    <x v="5"/>
    <s v="Customer 013"/>
    <s v="Retail"/>
    <x v="3"/>
    <s v="ColorJet X"/>
    <n v="11"/>
    <n v="436.97"/>
    <n v="0"/>
    <n v="4806.67"/>
    <n v="3141.4"/>
    <n v="5274.8"/>
    <n v="420"/>
    <n v="1665.27"/>
    <n v="0.34644982909165806"/>
    <n v="-468.13000000000011"/>
    <s v="Below Target"/>
  </r>
  <r>
    <s v="ORD1443"/>
    <x v="112"/>
    <x v="0"/>
    <x v="0"/>
    <s v="Customer 093"/>
    <s v="Online"/>
    <x v="1"/>
    <s v="Mechanical Keyboard"/>
    <n v="8"/>
    <n v="85.61"/>
    <n v="0.1"/>
    <n v="616.39"/>
    <n v="462.77"/>
    <n v="677.64"/>
    <n v="85"/>
    <n v="153.62"/>
    <n v="0.24922532812018366"/>
    <n v="-61.25"/>
    <s v="Below Target"/>
  </r>
  <r>
    <s v="ORD1444"/>
    <x v="147"/>
    <x v="3"/>
    <x v="4"/>
    <s v="Customer 113"/>
    <s v="Corporate"/>
    <x v="0"/>
    <s v="Business 13"/>
    <n v="7"/>
    <n v="964.43"/>
    <n v="0.1"/>
    <n v="6075.91"/>
    <n v="4968.78"/>
    <n v="6392.09"/>
    <n v="950"/>
    <n v="1107.1300000000001"/>
    <n v="0.18221632644328176"/>
    <n v="-316.18000000000029"/>
    <s v="Below Target"/>
  </r>
  <r>
    <s v="ORD1445"/>
    <x v="256"/>
    <x v="2"/>
    <x v="5"/>
    <s v="Customer 051"/>
    <s v="Retail"/>
    <x v="0"/>
    <s v="Business 13"/>
    <n v="2"/>
    <n v="988.86"/>
    <n v="0.08"/>
    <n v="1819.5"/>
    <n v="1244.49"/>
    <n v="1906.72"/>
    <n v="950"/>
    <n v="575.01"/>
    <n v="0.31602638087386642"/>
    <n v="-87.220000000000027"/>
    <s v="Below Target"/>
  </r>
  <r>
    <s v="ORD1446"/>
    <x v="257"/>
    <x v="0"/>
    <x v="5"/>
    <s v="Customer 060"/>
    <s v="Online"/>
    <x v="3"/>
    <s v="OfficeJet Pro"/>
    <n v="12"/>
    <n v="345.02"/>
    <n v="0.02"/>
    <n v="4057.44"/>
    <n v="2518.19"/>
    <n v="4521.1099999999997"/>
    <n v="340"/>
    <n v="1539.25"/>
    <n v="0.37936482116802711"/>
    <n v="-463.66999999999962"/>
    <s v="Below Target"/>
  </r>
  <r>
    <s v="ORD1447"/>
    <x v="214"/>
    <x v="3"/>
    <x v="3"/>
    <s v="Customer 006"/>
    <s v="Retail"/>
    <x v="2"/>
    <s v="Monitor 24"/>
    <n v="15"/>
    <n v="230.11"/>
    <n v="0.1"/>
    <n v="3106.49"/>
    <n v="1894.12"/>
    <n v="3148.38"/>
    <n v="220"/>
    <n v="1212.3699999999999"/>
    <n v="0.39027004754562222"/>
    <n v="-41.890000000000327"/>
    <s v="Below Target"/>
  </r>
  <r>
    <s v="ORD1448"/>
    <x v="133"/>
    <x v="0"/>
    <x v="1"/>
    <s v="Customer 019"/>
    <s v="Retail"/>
    <x v="0"/>
    <s v="ProBook 14"/>
    <n v="8"/>
    <n v="871.86"/>
    <n v="0"/>
    <n v="6974.88"/>
    <n v="5350.38"/>
    <n v="7614.89"/>
    <n v="850"/>
    <n v="1624.5"/>
    <n v="0.23290723281260753"/>
    <n v="-640.01000000000022"/>
    <s v="Below Target"/>
  </r>
  <r>
    <s v="ORD1449"/>
    <x v="258"/>
    <x v="0"/>
    <x v="0"/>
    <s v="Customer 083"/>
    <s v="Online"/>
    <x v="1"/>
    <s v="USB-C Hub"/>
    <n v="6"/>
    <n v="57.63"/>
    <n v="0.05"/>
    <n v="328.49"/>
    <n v="263.32"/>
    <n v="289.25"/>
    <n v="60"/>
    <n v="65.170000000000016"/>
    <n v="0.19839264513379407"/>
    <n v="39.240000000000009"/>
    <s v="Above Target"/>
  </r>
  <r>
    <s v="ORD1450"/>
    <x v="259"/>
    <x v="1"/>
    <x v="2"/>
    <s v="Customer 051"/>
    <s v="Online"/>
    <x v="1"/>
    <s v="USB-C Hub"/>
    <n v="10"/>
    <n v="60.68"/>
    <n v="0.08"/>
    <n v="558.26"/>
    <n v="344.49"/>
    <n v="498.54"/>
    <n v="60"/>
    <n v="213.76999999999998"/>
    <n v="0.38292193601547664"/>
    <n v="59.71999999999997"/>
    <s v="Above Target"/>
  </r>
  <r>
    <s v="ORD1451"/>
    <x v="161"/>
    <x v="0"/>
    <x v="4"/>
    <s v="Customer 084"/>
    <s v="Retail"/>
    <x v="3"/>
    <s v="OfficeJet Pro"/>
    <n v="4"/>
    <n v="323.82"/>
    <n v="0.08"/>
    <n v="1191.6600000000001"/>
    <n v="927.76"/>
    <n v="1179.6400000000001"/>
    <n v="340"/>
    <n v="263.90000000000009"/>
    <n v="0.22145578436802449"/>
    <n v="12.019999999999982"/>
    <s v="Above Target"/>
  </r>
  <r>
    <s v="ORD1452"/>
    <x v="206"/>
    <x v="0"/>
    <x v="5"/>
    <s v="Customer 094"/>
    <s v="Retail"/>
    <x v="1"/>
    <s v="Wireless Mouse"/>
    <n v="2"/>
    <n v="35.39"/>
    <n v="0"/>
    <n v="70.78"/>
    <n v="50.97"/>
    <n v="68.27"/>
    <n v="35"/>
    <n v="19.810000000000002"/>
    <n v="0.27988132240745978"/>
    <n v="2.5100000000000051"/>
    <s v="Above Target"/>
  </r>
  <r>
    <s v="ORD1453"/>
    <x v="260"/>
    <x v="1"/>
    <x v="1"/>
    <s v="Customer 001"/>
    <s v="Online"/>
    <x v="0"/>
    <s v="UltraBook 15"/>
    <n v="6"/>
    <n v="1075.1400000000001"/>
    <n v="0.03"/>
    <n v="6257.31"/>
    <n v="4803.9399999999996"/>
    <n v="5728.43"/>
    <n v="1100"/>
    <n v="1453.3700000000008"/>
    <n v="0.2322675398853502"/>
    <n v="528.88000000000011"/>
    <s v="Above Target"/>
  </r>
  <r>
    <s v="ORD1454"/>
    <x v="261"/>
    <x v="3"/>
    <x v="0"/>
    <s v="Customer 074"/>
    <s v="Retail"/>
    <x v="0"/>
    <s v="ProBook 14"/>
    <n v="2"/>
    <n v="865.54"/>
    <n v="0.08"/>
    <n v="1592.59"/>
    <n v="1030.49"/>
    <n v="1548.78"/>
    <n v="850"/>
    <n v="562.09999999999991"/>
    <n v="0.35294708619293097"/>
    <n v="43.809999999999945"/>
    <s v="Above Target"/>
  </r>
  <r>
    <s v="ORD1455"/>
    <x v="262"/>
    <x v="3"/>
    <x v="5"/>
    <s v="Customer 024"/>
    <s v="Distributor"/>
    <x v="0"/>
    <s v="ProBook 14"/>
    <n v="14"/>
    <n v="812.51"/>
    <n v="0.1"/>
    <n v="10237.629999999999"/>
    <n v="6211.55"/>
    <n v="10682.02"/>
    <n v="850"/>
    <n v="4026.079999999999"/>
    <n v="0.39326289385336249"/>
    <n v="-444.39000000000124"/>
    <s v="Below Target"/>
  </r>
  <r>
    <s v="ORD1456"/>
    <x v="163"/>
    <x v="3"/>
    <x v="5"/>
    <s v="Customer 021"/>
    <s v="Corporate"/>
    <x v="2"/>
    <s v="Monitor 27"/>
    <n v="12"/>
    <n v="308.29000000000002"/>
    <n v="0.03"/>
    <n v="3588.5"/>
    <n v="2821.22"/>
    <n v="3182.3"/>
    <n v="320"/>
    <n v="767.2800000000002"/>
    <n v="0.21381635780966984"/>
    <n v="406.19999999999982"/>
    <s v="Above Target"/>
  </r>
  <r>
    <s v="ORD1457"/>
    <x v="236"/>
    <x v="1"/>
    <x v="3"/>
    <s v="Customer 103"/>
    <s v="Retail"/>
    <x v="3"/>
    <s v="LaserJet M200"/>
    <n v="11"/>
    <n v="271.24"/>
    <n v="0.08"/>
    <n v="2744.95"/>
    <n v="2152.3200000000002"/>
    <n v="3070.57"/>
    <n v="260"/>
    <n v="592.62999999999965"/>
    <n v="0.21589828594327753"/>
    <n v="-325.62000000000035"/>
    <s v="Below Target"/>
  </r>
  <r>
    <s v="ORD1458"/>
    <x v="191"/>
    <x v="1"/>
    <x v="5"/>
    <s v="Customer 099"/>
    <s v="Retail"/>
    <x v="1"/>
    <s v="Wireless Mouse"/>
    <n v="9"/>
    <n v="33.32"/>
    <n v="0.02"/>
    <n v="293.88"/>
    <n v="211.5"/>
    <n v="283.77999999999997"/>
    <n v="35"/>
    <n v="82.38"/>
    <n v="0.28031849734585546"/>
    <n v="10.100000000000023"/>
    <s v="Above Target"/>
  </r>
  <r>
    <s v="ORD1459"/>
    <x v="263"/>
    <x v="3"/>
    <x v="4"/>
    <s v="Customer 044"/>
    <s v="Distributor"/>
    <x v="3"/>
    <s v="ColorJet X"/>
    <n v="2"/>
    <n v="421.34"/>
    <n v="0"/>
    <n v="842.68"/>
    <n v="512.16999999999996"/>
    <n v="913.75"/>
    <n v="420"/>
    <n v="330.51"/>
    <n v="0.39221293966867615"/>
    <n v="-71.07000000000005"/>
    <s v="Below Target"/>
  </r>
  <r>
    <s v="ORD1460"/>
    <x v="205"/>
    <x v="2"/>
    <x v="2"/>
    <s v="Customer 120"/>
    <s v="Online"/>
    <x v="1"/>
    <s v="USB-C Hub"/>
    <n v="2"/>
    <n v="62.79"/>
    <n v="0.02"/>
    <n v="123.07"/>
    <n v="79.569999999999993"/>
    <n v="109.88"/>
    <n v="60"/>
    <n v="43.5"/>
    <n v="0.35345738197773624"/>
    <n v="13.189999999999998"/>
    <s v="Above Target"/>
  </r>
  <r>
    <s v="ORD1461"/>
    <x v="182"/>
    <x v="0"/>
    <x v="1"/>
    <s v="Customer 079"/>
    <s v="Corporate"/>
    <x v="2"/>
    <s v="Monitor 24"/>
    <n v="4"/>
    <n v="215.32"/>
    <n v="0"/>
    <n v="861.28"/>
    <n v="652.11"/>
    <n v="847.1"/>
    <n v="220"/>
    <n v="209.16999999999996"/>
    <n v="0.24285946498235181"/>
    <n v="14.17999999999995"/>
    <s v="Above Target"/>
  </r>
  <r>
    <s v="ORD1462"/>
    <x v="264"/>
    <x v="1"/>
    <x v="3"/>
    <s v="Customer 004"/>
    <s v="Online"/>
    <x v="3"/>
    <s v="LaserJet M200"/>
    <n v="3"/>
    <n v="264.95999999999998"/>
    <n v="0.1"/>
    <n v="715.39"/>
    <n v="473.98"/>
    <n v="696.66"/>
    <n v="260"/>
    <n v="241.40999999999997"/>
    <n v="0.33745229874613841"/>
    <n v="18.730000000000018"/>
    <s v="Above Target"/>
  </r>
  <r>
    <s v="ORD1463"/>
    <x v="265"/>
    <x v="0"/>
    <x v="0"/>
    <s v="Customer 009"/>
    <s v="Corporate"/>
    <x v="2"/>
    <s v="Monitor 24"/>
    <n v="11"/>
    <n v="214.71"/>
    <n v="0.1"/>
    <n v="2125.63"/>
    <n v="1576.21"/>
    <n v="2172.12"/>
    <n v="220"/>
    <n v="549.42000000000007"/>
    <n v="0.2584739583088308"/>
    <n v="-46.489999999999782"/>
    <s v="Below Target"/>
  </r>
  <r>
    <s v="ORD1464"/>
    <x v="181"/>
    <x v="2"/>
    <x v="0"/>
    <s v="Customer 015"/>
    <s v="Corporate"/>
    <x v="0"/>
    <s v="UltraBook 15"/>
    <n v="2"/>
    <n v="1125.26"/>
    <n v="0.08"/>
    <n v="2070.48"/>
    <n v="1248.9100000000001"/>
    <n v="2001.66"/>
    <n v="1100"/>
    <n v="821.56999999999994"/>
    <n v="0.39680170781654495"/>
    <n v="68.819999999999936"/>
    <s v="Above Target"/>
  </r>
  <r>
    <s v="ORD1465"/>
    <x v="182"/>
    <x v="1"/>
    <x v="2"/>
    <s v="Customer 053"/>
    <s v="Retail"/>
    <x v="1"/>
    <s v="USB-C Hub"/>
    <n v="12"/>
    <n v="62.27"/>
    <n v="0.05"/>
    <n v="709.88"/>
    <n v="453.71"/>
    <n v="641.75"/>
    <n v="60"/>
    <n v="256.17"/>
    <n v="0.36086380796754386"/>
    <n v="68.13"/>
    <s v="Above Target"/>
  </r>
  <r>
    <s v="ORD1466"/>
    <x v="203"/>
    <x v="0"/>
    <x v="2"/>
    <s v="Customer 107"/>
    <s v="Retail"/>
    <x v="3"/>
    <s v="OfficeJet Pro"/>
    <n v="15"/>
    <n v="326.22000000000003"/>
    <n v="0.05"/>
    <n v="4648.6400000000003"/>
    <n v="3139.3"/>
    <n v="5019.3599999999997"/>
    <n v="340"/>
    <n v="1509.3400000000001"/>
    <n v="0.32468420871480691"/>
    <n v="-370.71999999999935"/>
    <s v="Below Target"/>
  </r>
  <r>
    <s v="ORD1467"/>
    <x v="40"/>
    <x v="2"/>
    <x v="5"/>
    <s v="Customer 116"/>
    <s v="Online"/>
    <x v="2"/>
    <s v="Monitor 24"/>
    <n v="13"/>
    <n v="216.72"/>
    <n v="0.03"/>
    <n v="2732.84"/>
    <n v="1806.63"/>
    <n v="2411.33"/>
    <n v="220"/>
    <n v="926.21"/>
    <n v="0.33891848772705319"/>
    <n v="321.51000000000022"/>
    <s v="Above Target"/>
  </r>
  <r>
    <s v="ORD1468"/>
    <x v="211"/>
    <x v="2"/>
    <x v="2"/>
    <s v="Customer 013"/>
    <s v="Online"/>
    <x v="3"/>
    <s v="ColorJet X"/>
    <n v="11"/>
    <n v="426.79"/>
    <n v="0.03"/>
    <n v="4553.8500000000004"/>
    <n v="3394.75"/>
    <n v="4204.78"/>
    <n v="420"/>
    <n v="1159.1000000000004"/>
    <n v="0.254531879618345"/>
    <n v="349.07000000000062"/>
    <s v="Above Target"/>
  </r>
  <r>
    <s v="ORD1469"/>
    <x v="62"/>
    <x v="0"/>
    <x v="3"/>
    <s v="Customer 110"/>
    <s v="Retail"/>
    <x v="2"/>
    <s v="Monitor 27"/>
    <n v="11"/>
    <n v="306.85000000000002"/>
    <n v="0.08"/>
    <n v="3105.32"/>
    <n v="2015.72"/>
    <n v="2780.97"/>
    <n v="320"/>
    <n v="1089.6000000000001"/>
    <n v="0.35088171267373414"/>
    <n v="324.35000000000036"/>
    <s v="Above Target"/>
  </r>
  <r>
    <s v="ORD1470"/>
    <x v="255"/>
    <x v="1"/>
    <x v="3"/>
    <s v="Customer 022"/>
    <s v="Online"/>
    <x v="2"/>
    <s v="Monitor 32"/>
    <n v="9"/>
    <n v="460.02"/>
    <n v="0.02"/>
    <n v="4057.38"/>
    <n v="2764.14"/>
    <n v="4288.34"/>
    <n v="450"/>
    <n v="1293.2400000000002"/>
    <n v="0.31873770758469755"/>
    <n v="-230.96000000000004"/>
    <s v="Below Target"/>
  </r>
  <r>
    <s v="ORD1471"/>
    <x v="29"/>
    <x v="2"/>
    <x v="1"/>
    <s v="Customer 098"/>
    <s v="Corporate"/>
    <x v="3"/>
    <s v="ColorJet X"/>
    <n v="3"/>
    <n v="410.98"/>
    <n v="0.05"/>
    <n v="1171.29"/>
    <n v="943"/>
    <n v="1039.19"/>
    <n v="420"/>
    <n v="228.28999999999996"/>
    <n v="0.19490476312441835"/>
    <n v="132.09999999999991"/>
    <s v="Above Target"/>
  </r>
  <r>
    <s v="ORD1472"/>
    <x v="95"/>
    <x v="3"/>
    <x v="3"/>
    <s v="Customer 031"/>
    <s v="Distributor"/>
    <x v="2"/>
    <s v="Monitor 24"/>
    <n v="11"/>
    <n v="228.64"/>
    <n v="0.03"/>
    <n v="2439.59"/>
    <n v="1930.51"/>
    <n v="2176.4499999999998"/>
    <n v="220"/>
    <n v="509.08000000000015"/>
    <n v="0.20867440840469101"/>
    <n v="263.14000000000033"/>
    <s v="Above Target"/>
  </r>
  <r>
    <s v="ORD1473"/>
    <x v="76"/>
    <x v="0"/>
    <x v="2"/>
    <s v="Customer 016"/>
    <s v="Corporate"/>
    <x v="1"/>
    <s v="Mechanical Keyboard"/>
    <n v="8"/>
    <n v="84.89"/>
    <n v="0"/>
    <n v="679.12"/>
    <n v="476.19"/>
    <n v="713.6"/>
    <n v="85"/>
    <n v="202.93"/>
    <n v="0.2988131699846861"/>
    <n v="-34.480000000000018"/>
    <s v="Below Target"/>
  </r>
  <r>
    <s v="ORD1474"/>
    <x v="239"/>
    <x v="1"/>
    <x v="3"/>
    <s v="Customer 057"/>
    <s v="Corporate"/>
    <x v="0"/>
    <s v="Business 13"/>
    <n v="15"/>
    <n v="924.42"/>
    <n v="0.05"/>
    <n v="13172.98"/>
    <n v="8079.74"/>
    <n v="12195.41"/>
    <n v="950"/>
    <n v="5093.24"/>
    <n v="0.38664296157741074"/>
    <n v="977.56999999999971"/>
    <s v="Above Target"/>
  </r>
  <r>
    <s v="ORD1475"/>
    <x v="20"/>
    <x v="3"/>
    <x v="5"/>
    <s v="Customer 008"/>
    <s v="Corporate"/>
    <x v="2"/>
    <s v="Monitor 32"/>
    <n v="9"/>
    <n v="430.08"/>
    <n v="0.08"/>
    <n v="3561.06"/>
    <n v="2310.88"/>
    <n v="3769.79"/>
    <n v="450"/>
    <n v="1250.1799999999998"/>
    <n v="0.35106962533627623"/>
    <n v="-208.73000000000002"/>
    <s v="Below Target"/>
  </r>
  <r>
    <s v="ORD1476"/>
    <x v="27"/>
    <x v="0"/>
    <x v="2"/>
    <s v="Customer 034"/>
    <s v="Corporate"/>
    <x v="0"/>
    <s v="ProBook 14"/>
    <n v="4"/>
    <n v="851.83"/>
    <n v="0.08"/>
    <n v="3134.73"/>
    <n v="2477.15"/>
    <n v="2918.35"/>
    <n v="850"/>
    <n v="657.57999999999993"/>
    <n v="0.20977245249192114"/>
    <n v="216.38000000000011"/>
    <s v="Above Target"/>
  </r>
  <r>
    <s v="ORD1477"/>
    <x v="80"/>
    <x v="1"/>
    <x v="4"/>
    <s v="Customer 102"/>
    <s v="Distributor"/>
    <x v="3"/>
    <s v="ColorJet X"/>
    <n v="12"/>
    <n v="404.53"/>
    <n v="0.05"/>
    <n v="4611.6400000000003"/>
    <n v="3407.17"/>
    <n v="4166.63"/>
    <n v="420"/>
    <n v="1204.4700000000003"/>
    <n v="0.26118040436807732"/>
    <n v="445.01000000000022"/>
    <s v="Above Target"/>
  </r>
  <r>
    <s v="ORD1478"/>
    <x v="89"/>
    <x v="0"/>
    <x v="4"/>
    <s v="Customer 061"/>
    <s v="Online"/>
    <x v="0"/>
    <s v="UltraBook 15"/>
    <n v="12"/>
    <n v="1153.26"/>
    <n v="0.05"/>
    <n v="13147.16"/>
    <n v="8632.56"/>
    <n v="13177.25"/>
    <n v="1100"/>
    <n v="4514.6000000000004"/>
    <n v="0.34338975109453301"/>
    <n v="-30.090000000000146"/>
    <s v="Below Target"/>
  </r>
  <r>
    <s v="ORD1479"/>
    <x v="82"/>
    <x v="2"/>
    <x v="2"/>
    <s v="Customer 103"/>
    <s v="Distributor"/>
    <x v="3"/>
    <s v="LaserJet M200"/>
    <n v="4"/>
    <n v="267.08999999999997"/>
    <n v="0.1"/>
    <n v="961.52"/>
    <n v="704.88"/>
    <n v="996.4"/>
    <n v="260"/>
    <n v="256.64"/>
    <n v="0.26691072468591398"/>
    <n v="-34.879999999999995"/>
    <s v="Below Target"/>
  </r>
  <r>
    <s v="ORD1480"/>
    <x v="111"/>
    <x v="3"/>
    <x v="4"/>
    <s v="Customer 011"/>
    <s v="Corporate"/>
    <x v="2"/>
    <s v="Monitor 32"/>
    <n v="11"/>
    <n v="468.12"/>
    <n v="0.02"/>
    <n v="5046.33"/>
    <n v="3804.67"/>
    <n v="4459.7299999999996"/>
    <n v="450"/>
    <n v="1241.6599999999999"/>
    <n v="0.24605208141362137"/>
    <n v="586.60000000000036"/>
    <s v="Above Target"/>
  </r>
  <r>
    <s v="ORD1481"/>
    <x v="208"/>
    <x v="1"/>
    <x v="0"/>
    <s v="Customer 026"/>
    <s v="Online"/>
    <x v="0"/>
    <s v="ProBook 14"/>
    <n v="5"/>
    <n v="844.82"/>
    <n v="0.02"/>
    <n v="4139.62"/>
    <n v="3248.1"/>
    <n v="3945.33"/>
    <n v="850"/>
    <n v="891.52"/>
    <n v="0.21536276276566449"/>
    <n v="194.28999999999996"/>
    <s v="Above Target"/>
  </r>
  <r>
    <s v="ORD1482"/>
    <x v="214"/>
    <x v="3"/>
    <x v="3"/>
    <s v="Customer 066"/>
    <s v="Corporate"/>
    <x v="0"/>
    <s v="ProBook 14"/>
    <n v="11"/>
    <n v="821.54"/>
    <n v="0.03"/>
    <n v="8765.83"/>
    <n v="7088.46"/>
    <n v="8204.33"/>
    <n v="850"/>
    <n v="1677.37"/>
    <n v="0.1913532432182691"/>
    <n v="561.5"/>
    <s v="Above Target"/>
  </r>
  <r>
    <s v="ORD1483"/>
    <x v="53"/>
    <x v="3"/>
    <x v="3"/>
    <s v="Customer 029"/>
    <s v="Distributor"/>
    <x v="2"/>
    <s v="Monitor 24"/>
    <n v="10"/>
    <n v="228.93"/>
    <n v="0.02"/>
    <n v="2243.5100000000002"/>
    <n v="1757.71"/>
    <n v="2083"/>
    <n v="220"/>
    <n v="485.80000000000018"/>
    <n v="0.21653569629731989"/>
    <n v="160.51000000000022"/>
    <s v="Above Target"/>
  </r>
  <r>
    <s v="ORD1484"/>
    <x v="266"/>
    <x v="2"/>
    <x v="1"/>
    <s v="Customer 106"/>
    <s v="Online"/>
    <x v="1"/>
    <s v="Wireless Mouse"/>
    <n v="3"/>
    <n v="34.450000000000003"/>
    <n v="0.1"/>
    <n v="93.02"/>
    <n v="70.319999999999993"/>
    <n v="94.55"/>
    <n v="35"/>
    <n v="22.700000000000003"/>
    <n v="0.24403354117394113"/>
    <n v="-1.5300000000000011"/>
    <s v="Below Target"/>
  </r>
  <r>
    <s v="ORD1485"/>
    <x v="24"/>
    <x v="3"/>
    <x v="1"/>
    <s v="Customer 034"/>
    <s v="Retail"/>
    <x v="1"/>
    <s v="Webcam HD"/>
    <n v="13"/>
    <n v="73.180000000000007"/>
    <n v="0.05"/>
    <n v="903.77"/>
    <n v="636.72"/>
    <n v="914.15"/>
    <n v="75"/>
    <n v="267.04999999999995"/>
    <n v="0.29548447060645955"/>
    <n v="-10.379999999999995"/>
    <s v="Below Target"/>
  </r>
  <r>
    <s v="ORD1486"/>
    <x v="267"/>
    <x v="2"/>
    <x v="0"/>
    <s v="Customer 042"/>
    <s v="Online"/>
    <x v="0"/>
    <s v="UltraBook 15"/>
    <n v="5"/>
    <n v="1150.6300000000001"/>
    <n v="0.02"/>
    <n v="5638.09"/>
    <n v="4512.0600000000004"/>
    <n v="6312.6"/>
    <n v="1100"/>
    <n v="1126.0299999999997"/>
    <n v="0.19971834433292121"/>
    <n v="-674.51000000000022"/>
    <s v="Below Target"/>
  </r>
  <r>
    <s v="ORD1487"/>
    <x v="268"/>
    <x v="1"/>
    <x v="0"/>
    <s v="Customer 085"/>
    <s v="Retail"/>
    <x v="2"/>
    <s v="Monitor 24"/>
    <n v="7"/>
    <n v="212.69"/>
    <n v="0.08"/>
    <n v="1369.72"/>
    <n v="1068.75"/>
    <n v="1465.06"/>
    <n v="220"/>
    <n v="300.97000000000003"/>
    <n v="0.21973103992056772"/>
    <n v="-95.339999999999918"/>
    <s v="Below Target"/>
  </r>
  <r>
    <s v="ORD1488"/>
    <x v="13"/>
    <x v="0"/>
    <x v="5"/>
    <s v="Customer 116"/>
    <s v="Distributor"/>
    <x v="3"/>
    <s v="OfficeJet Pro"/>
    <n v="5"/>
    <n v="355.9"/>
    <n v="0.1"/>
    <n v="1601.55"/>
    <n v="1104.5999999999999"/>
    <n v="1429.19"/>
    <n v="340"/>
    <n v="496.95000000000005"/>
    <n v="0.31029315350753961"/>
    <n v="172.3599999999999"/>
    <s v="Above Target"/>
  </r>
  <r>
    <s v="ORD1489"/>
    <x v="222"/>
    <x v="1"/>
    <x v="4"/>
    <s v="Customer 084"/>
    <s v="Online"/>
    <x v="2"/>
    <s v="Monitor 27"/>
    <n v="13"/>
    <n v="334.94"/>
    <n v="0.02"/>
    <n v="4267.1400000000003"/>
    <n v="2954.65"/>
    <n v="4297.2299999999996"/>
    <n v="320"/>
    <n v="1312.4900000000002"/>
    <n v="0.30758072151370708"/>
    <n v="-30.089999999999236"/>
    <s v="Below Target"/>
  </r>
  <r>
    <s v="ORD1490"/>
    <x v="145"/>
    <x v="2"/>
    <x v="2"/>
    <s v="Customer 010"/>
    <s v="Distributor"/>
    <x v="2"/>
    <s v="Monitor 24"/>
    <n v="8"/>
    <n v="223.48"/>
    <n v="0.08"/>
    <n v="1644.81"/>
    <n v="1232.8800000000001"/>
    <n v="1593.32"/>
    <n v="220"/>
    <n v="411.92999999999984"/>
    <n v="0.2504423003264814"/>
    <n v="51.490000000000009"/>
    <s v="Above Target"/>
  </r>
  <r>
    <s v="ORD1491"/>
    <x v="3"/>
    <x v="1"/>
    <x v="4"/>
    <s v="Customer 106"/>
    <s v="Online"/>
    <x v="1"/>
    <s v="Wireless Mouse"/>
    <n v="3"/>
    <n v="36.26"/>
    <n v="0.03"/>
    <n v="105.52"/>
    <n v="78.25"/>
    <n v="103.29"/>
    <n v="35"/>
    <n v="27.269999999999996"/>
    <n v="0.25843442001516298"/>
    <n v="2.2299999999999898"/>
    <s v="Above Target"/>
  </r>
  <r>
    <s v="ORD1492"/>
    <x v="35"/>
    <x v="0"/>
    <x v="2"/>
    <s v="Customer 061"/>
    <s v="Distributor"/>
    <x v="3"/>
    <s v="OfficeJet Pro"/>
    <n v="1"/>
    <n v="344.22"/>
    <n v="0.05"/>
    <n v="327.01"/>
    <n v="211.48"/>
    <n v="313.52"/>
    <n v="340"/>
    <n v="115.53"/>
    <n v="0.35329194825846305"/>
    <n v="13.490000000000009"/>
    <s v="Above Target"/>
  </r>
  <r>
    <s v="ORD1493"/>
    <x v="98"/>
    <x v="2"/>
    <x v="2"/>
    <s v="Customer 012"/>
    <s v="Retail"/>
    <x v="3"/>
    <s v="ColorJet X"/>
    <n v="12"/>
    <n v="439.15"/>
    <n v="0.02"/>
    <n v="5164.3999999999996"/>
    <n v="3627.53"/>
    <n v="4946.58"/>
    <n v="420"/>
    <n v="1536.8699999999994"/>
    <n v="0.29758926496785676"/>
    <n v="217.81999999999971"/>
    <s v="Above Target"/>
  </r>
  <r>
    <s v="ORD1494"/>
    <x v="269"/>
    <x v="1"/>
    <x v="2"/>
    <s v="Customer 085"/>
    <s v="Corporate"/>
    <x v="1"/>
    <s v="Wireless Mouse"/>
    <n v="7"/>
    <n v="36.619999999999997"/>
    <n v="0.1"/>
    <n v="230.71"/>
    <n v="150.22999999999999"/>
    <n v="243.74"/>
    <n v="35"/>
    <n v="80.480000000000018"/>
    <n v="0.34883620129166493"/>
    <n v="-13.030000000000001"/>
    <s v="Below Target"/>
  </r>
  <r>
    <s v="ORD1495"/>
    <x v="87"/>
    <x v="3"/>
    <x v="0"/>
    <s v="Customer 054"/>
    <s v="Online"/>
    <x v="0"/>
    <s v="Business 13"/>
    <n v="4"/>
    <n v="963.28"/>
    <n v="0.03"/>
    <n v="3737.53"/>
    <n v="2335.5100000000002"/>
    <n v="3746.4"/>
    <n v="950"/>
    <n v="1402.02"/>
    <n v="0.37511939703494018"/>
    <n v="-8.8699999999998909"/>
    <s v="Below Target"/>
  </r>
  <r>
    <s v="ORD1496"/>
    <x v="147"/>
    <x v="3"/>
    <x v="3"/>
    <s v="Customer 023"/>
    <s v="Corporate"/>
    <x v="1"/>
    <s v="Webcam HD"/>
    <n v="8"/>
    <n v="78.319999999999993"/>
    <n v="0.08"/>
    <n v="576.44000000000005"/>
    <n v="414.72"/>
    <n v="555.01"/>
    <n v="75"/>
    <n v="161.72000000000003"/>
    <n v="0.28054958018180559"/>
    <n v="21.430000000000064"/>
    <s v="Above Target"/>
  </r>
  <r>
    <s v="ORD1497"/>
    <x v="30"/>
    <x v="1"/>
    <x v="0"/>
    <s v="Customer 083"/>
    <s v="Retail"/>
    <x v="0"/>
    <s v="ProBook 14"/>
    <n v="11"/>
    <n v="864.96"/>
    <n v="0.02"/>
    <n v="9324.27"/>
    <n v="6402.85"/>
    <n v="8467.5"/>
    <n v="850"/>
    <n v="2921.42"/>
    <n v="0.31331353553683022"/>
    <n v="856.77000000000044"/>
    <s v="Above Target"/>
  </r>
  <r>
    <s v="ORD1498"/>
    <x v="257"/>
    <x v="1"/>
    <x v="1"/>
    <s v="Customer 106"/>
    <s v="Online"/>
    <x v="2"/>
    <s v="Monitor 24"/>
    <n v="12"/>
    <n v="222.03"/>
    <n v="0.02"/>
    <n v="2611.0700000000002"/>
    <n v="1778.73"/>
    <n v="2830.58"/>
    <n v="220"/>
    <n v="832.34000000000015"/>
    <n v="0.31877352962578565"/>
    <n v="-219.50999999999976"/>
    <s v="Below Target"/>
  </r>
  <r>
    <s v="ORD1499"/>
    <x v="165"/>
    <x v="3"/>
    <x v="4"/>
    <s v="Customer 072"/>
    <s v="Distributor"/>
    <x v="1"/>
    <s v="Mechanical Keyboard"/>
    <n v="14"/>
    <n v="86.41"/>
    <n v="0.08"/>
    <n v="1112.96"/>
    <n v="678.95"/>
    <n v="1219.03"/>
    <n v="85"/>
    <n v="434.01"/>
    <n v="0.38996010638297868"/>
    <n v="-106.06999999999994"/>
    <s v="Below Target"/>
  </r>
  <r>
    <s v="ORD1500"/>
    <x v="155"/>
    <x v="2"/>
    <x v="1"/>
    <s v="Customer 023"/>
    <s v="Distributor"/>
    <x v="0"/>
    <s v="UltraBook 15"/>
    <n v="13"/>
    <n v="1045.52"/>
    <n v="0.02"/>
    <n v="13319.92"/>
    <n v="8243.32"/>
    <n v="12517.27"/>
    <n v="1100"/>
    <n v="5076.6000000000004"/>
    <n v="0.38112841518567681"/>
    <n v="802.64999999999964"/>
    <s v="Above Targ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AEB886-680A-4324-B6B6-BB7892C7806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21">
    <pivotField showAll="0"/>
    <pivotField numFmtId="15" showAll="0">
      <items count="271">
        <item x="66"/>
        <item x="193"/>
        <item x="159"/>
        <item x="68"/>
        <item x="191"/>
        <item x="42"/>
        <item x="234"/>
        <item x="168"/>
        <item x="10"/>
        <item x="109"/>
        <item x="155"/>
        <item x="76"/>
        <item x="266"/>
        <item x="113"/>
        <item x="233"/>
        <item x="164"/>
        <item x="111"/>
        <item x="225"/>
        <item x="158"/>
        <item x="146"/>
        <item x="227"/>
        <item x="135"/>
        <item x="195"/>
        <item x="9"/>
        <item x="205"/>
        <item x="89"/>
        <item x="172"/>
        <item x="222"/>
        <item x="65"/>
        <item x="261"/>
        <item x="219"/>
        <item x="262"/>
        <item x="69"/>
        <item x="173"/>
        <item x="1"/>
        <item x="88"/>
        <item x="152"/>
        <item x="154"/>
        <item x="162"/>
        <item x="238"/>
        <item x="260"/>
        <item x="22"/>
        <item x="40"/>
        <item x="75"/>
        <item x="235"/>
        <item x="55"/>
        <item x="93"/>
        <item x="156"/>
        <item x="31"/>
        <item x="63"/>
        <item x="132"/>
        <item x="48"/>
        <item x="189"/>
        <item x="170"/>
        <item x="143"/>
        <item x="207"/>
        <item x="110"/>
        <item x="13"/>
        <item x="24"/>
        <item x="211"/>
        <item x="218"/>
        <item x="236"/>
        <item x="124"/>
        <item x="268"/>
        <item x="107"/>
        <item x="117"/>
        <item x="209"/>
        <item x="169"/>
        <item x="79"/>
        <item x="73"/>
        <item x="71"/>
        <item x="83"/>
        <item x="112"/>
        <item x="38"/>
        <item x="217"/>
        <item x="121"/>
        <item x="16"/>
        <item x="54"/>
        <item x="119"/>
        <item x="186"/>
        <item x="208"/>
        <item x="174"/>
        <item x="131"/>
        <item x="198"/>
        <item x="41"/>
        <item x="84"/>
        <item x="221"/>
        <item x="20"/>
        <item x="171"/>
        <item x="29"/>
        <item x="39"/>
        <item x="99"/>
        <item x="151"/>
        <item x="77"/>
        <item x="215"/>
        <item x="36"/>
        <item x="224"/>
        <item x="37"/>
        <item x="34"/>
        <item x="148"/>
        <item x="130"/>
        <item x="78"/>
        <item x="45"/>
        <item x="185"/>
        <item x="177"/>
        <item x="139"/>
        <item x="114"/>
        <item x="196"/>
        <item x="56"/>
        <item x="181"/>
        <item x="242"/>
        <item x="228"/>
        <item x="254"/>
        <item x="115"/>
        <item x="0"/>
        <item x="47"/>
        <item x="108"/>
        <item x="52"/>
        <item x="167"/>
        <item x="194"/>
        <item x="15"/>
        <item x="263"/>
        <item x="116"/>
        <item x="122"/>
        <item x="180"/>
        <item x="255"/>
        <item x="32"/>
        <item x="92"/>
        <item x="204"/>
        <item x="5"/>
        <item x="87"/>
        <item x="95"/>
        <item x="157"/>
        <item x="153"/>
        <item x="244"/>
        <item x="178"/>
        <item x="150"/>
        <item x="62"/>
        <item x="94"/>
        <item x="46"/>
        <item x="11"/>
        <item x="250"/>
        <item x="214"/>
        <item x="60"/>
        <item x="86"/>
        <item x="85"/>
        <item x="184"/>
        <item x="101"/>
        <item x="137"/>
        <item x="7"/>
        <item x="192"/>
        <item x="200"/>
        <item x="223"/>
        <item x="126"/>
        <item x="64"/>
        <item x="25"/>
        <item x="160"/>
        <item x="175"/>
        <item x="163"/>
        <item x="203"/>
        <item x="145"/>
        <item x="6"/>
        <item x="149"/>
        <item x="127"/>
        <item x="129"/>
        <item x="243"/>
        <item x="80"/>
        <item x="226"/>
        <item x="210"/>
        <item x="17"/>
        <item x="133"/>
        <item x="147"/>
        <item x="21"/>
        <item x="50"/>
        <item x="105"/>
        <item x="239"/>
        <item x="59"/>
        <item x="49"/>
        <item x="118"/>
        <item x="51"/>
        <item x="176"/>
        <item x="138"/>
        <item x="141"/>
        <item x="259"/>
        <item x="245"/>
        <item x="96"/>
        <item x="33"/>
        <item x="18"/>
        <item x="104"/>
        <item x="213"/>
        <item x="27"/>
        <item x="199"/>
        <item x="14"/>
        <item x="229"/>
        <item x="82"/>
        <item x="220"/>
        <item x="269"/>
        <item x="26"/>
        <item x="140"/>
        <item x="44"/>
        <item x="12"/>
        <item x="58"/>
        <item x="61"/>
        <item x="247"/>
        <item x="161"/>
        <item x="267"/>
        <item x="4"/>
        <item x="144"/>
        <item x="102"/>
        <item x="3"/>
        <item x="128"/>
        <item x="2"/>
        <item x="123"/>
        <item x="166"/>
        <item x="241"/>
        <item x="57"/>
        <item x="240"/>
        <item x="8"/>
        <item x="43"/>
        <item x="165"/>
        <item x="202"/>
        <item x="256"/>
        <item x="90"/>
        <item x="97"/>
        <item x="252"/>
        <item x="264"/>
        <item x="258"/>
        <item x="28"/>
        <item x="91"/>
        <item x="248"/>
        <item x="142"/>
        <item x="120"/>
        <item x="249"/>
        <item x="179"/>
        <item x="257"/>
        <item x="106"/>
        <item x="103"/>
        <item x="100"/>
        <item x="23"/>
        <item x="182"/>
        <item x="81"/>
        <item x="74"/>
        <item x="232"/>
        <item x="136"/>
        <item x="231"/>
        <item x="197"/>
        <item x="188"/>
        <item x="72"/>
        <item x="246"/>
        <item x="251"/>
        <item x="206"/>
        <item x="53"/>
        <item x="187"/>
        <item x="190"/>
        <item x="98"/>
        <item x="201"/>
        <item x="70"/>
        <item x="183"/>
        <item x="134"/>
        <item x="237"/>
        <item x="265"/>
        <item x="30"/>
        <item x="125"/>
        <item x="19"/>
        <item x="67"/>
        <item x="35"/>
        <item x="253"/>
        <item x="230"/>
        <item x="216"/>
        <item x="212"/>
        <item t="default"/>
      </items>
    </pivotField>
    <pivotField showAll="0">
      <items count="5">
        <item x="1"/>
        <item x="0"/>
        <item x="2"/>
        <item x="3"/>
        <item t="default"/>
      </items>
    </pivotField>
    <pivotField axis="axisRow" showAll="0">
      <items count="7">
        <item x="5"/>
        <item x="1"/>
        <item x="3"/>
        <item x="0"/>
        <item x="2"/>
        <item x="4"/>
        <item t="default"/>
      </items>
    </pivotField>
    <pivotField showAll="0"/>
    <pivotField showAll="0"/>
    <pivotField showAll="0"/>
    <pivotField showAll="0"/>
    <pivotField showAll="0"/>
    <pivotField showAll="0"/>
    <pivotField numFmtId="9" showAll="0"/>
    <pivotField dataField="1" showAll="0"/>
    <pivotField showAll="0"/>
    <pivotField showAll="0"/>
    <pivotField showAll="0"/>
    <pivotField dataField="1" showAll="0"/>
    <pivotField numFmtId="9"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Sum of Revenue" fld="11" baseField="0" baseItem="0"/>
    <dataField name="Sum of Profi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0D8B51-389F-4180-9272-569D8AA40C6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7" firstHeaderRow="1" firstDataRow="1" firstDataCol="1"/>
  <pivotFields count="21">
    <pivotField showAll="0"/>
    <pivotField numFmtId="14" showAll="0">
      <items count="271">
        <item x="66"/>
        <item x="193"/>
        <item x="159"/>
        <item x="68"/>
        <item x="191"/>
        <item x="42"/>
        <item x="234"/>
        <item x="168"/>
        <item x="10"/>
        <item x="109"/>
        <item x="155"/>
        <item x="76"/>
        <item x="266"/>
        <item x="113"/>
        <item x="233"/>
        <item x="164"/>
        <item x="111"/>
        <item x="225"/>
        <item x="158"/>
        <item x="146"/>
        <item x="227"/>
        <item x="135"/>
        <item x="195"/>
        <item x="9"/>
        <item x="205"/>
        <item x="89"/>
        <item x="172"/>
        <item x="222"/>
        <item x="65"/>
        <item x="261"/>
        <item x="219"/>
        <item x="262"/>
        <item x="69"/>
        <item x="173"/>
        <item x="1"/>
        <item x="88"/>
        <item x="152"/>
        <item x="154"/>
        <item x="162"/>
        <item x="238"/>
        <item x="260"/>
        <item x="22"/>
        <item x="40"/>
        <item x="75"/>
        <item x="235"/>
        <item x="55"/>
        <item x="93"/>
        <item x="156"/>
        <item x="31"/>
        <item x="63"/>
        <item x="132"/>
        <item x="48"/>
        <item x="189"/>
        <item x="170"/>
        <item x="143"/>
        <item x="207"/>
        <item x="110"/>
        <item x="13"/>
        <item x="24"/>
        <item x="211"/>
        <item x="218"/>
        <item x="236"/>
        <item x="124"/>
        <item x="268"/>
        <item x="107"/>
        <item x="117"/>
        <item x="209"/>
        <item x="169"/>
        <item x="79"/>
        <item x="73"/>
        <item x="71"/>
        <item x="83"/>
        <item x="112"/>
        <item x="38"/>
        <item x="217"/>
        <item x="121"/>
        <item x="16"/>
        <item x="54"/>
        <item x="119"/>
        <item x="186"/>
        <item x="208"/>
        <item x="174"/>
        <item x="131"/>
        <item x="198"/>
        <item x="41"/>
        <item x="84"/>
        <item x="221"/>
        <item x="20"/>
        <item x="171"/>
        <item x="29"/>
        <item x="39"/>
        <item x="99"/>
        <item x="151"/>
        <item x="77"/>
        <item x="215"/>
        <item x="36"/>
        <item x="224"/>
        <item x="37"/>
        <item x="34"/>
        <item x="148"/>
        <item x="130"/>
        <item x="78"/>
        <item x="45"/>
        <item x="185"/>
        <item x="177"/>
        <item x="139"/>
        <item x="114"/>
        <item x="196"/>
        <item x="56"/>
        <item x="181"/>
        <item x="242"/>
        <item x="228"/>
        <item x="254"/>
        <item x="115"/>
        <item x="0"/>
        <item x="47"/>
        <item x="108"/>
        <item x="52"/>
        <item x="167"/>
        <item x="194"/>
        <item x="15"/>
        <item x="263"/>
        <item x="116"/>
        <item x="122"/>
        <item x="180"/>
        <item x="255"/>
        <item x="32"/>
        <item x="92"/>
        <item x="204"/>
        <item x="5"/>
        <item x="87"/>
        <item x="95"/>
        <item x="157"/>
        <item x="153"/>
        <item x="244"/>
        <item x="178"/>
        <item x="150"/>
        <item x="62"/>
        <item x="94"/>
        <item x="46"/>
        <item x="11"/>
        <item x="250"/>
        <item x="214"/>
        <item x="60"/>
        <item x="86"/>
        <item x="85"/>
        <item x="184"/>
        <item x="101"/>
        <item x="137"/>
        <item x="7"/>
        <item x="192"/>
        <item x="200"/>
        <item x="223"/>
        <item x="126"/>
        <item x="64"/>
        <item x="25"/>
        <item x="160"/>
        <item x="175"/>
        <item x="163"/>
        <item x="203"/>
        <item x="145"/>
        <item x="6"/>
        <item x="149"/>
        <item x="127"/>
        <item x="129"/>
        <item x="243"/>
        <item x="80"/>
        <item x="226"/>
        <item x="210"/>
        <item x="17"/>
        <item x="133"/>
        <item x="147"/>
        <item x="21"/>
        <item x="50"/>
        <item x="105"/>
        <item x="239"/>
        <item x="59"/>
        <item x="49"/>
        <item x="118"/>
        <item x="51"/>
        <item x="176"/>
        <item x="138"/>
        <item x="141"/>
        <item x="259"/>
        <item x="245"/>
        <item x="96"/>
        <item x="33"/>
        <item x="18"/>
        <item x="104"/>
        <item x="213"/>
        <item x="27"/>
        <item x="199"/>
        <item x="14"/>
        <item x="229"/>
        <item x="82"/>
        <item x="220"/>
        <item x="269"/>
        <item x="26"/>
        <item x="140"/>
        <item x="44"/>
        <item x="12"/>
        <item x="58"/>
        <item x="61"/>
        <item x="247"/>
        <item x="161"/>
        <item x="267"/>
        <item x="4"/>
        <item x="144"/>
        <item x="102"/>
        <item x="3"/>
        <item x="128"/>
        <item x="2"/>
        <item x="123"/>
        <item x="166"/>
        <item x="241"/>
        <item x="57"/>
        <item x="240"/>
        <item x="8"/>
        <item x="43"/>
        <item x="165"/>
        <item x="202"/>
        <item x="256"/>
        <item x="90"/>
        <item x="97"/>
        <item x="252"/>
        <item x="264"/>
        <item x="258"/>
        <item x="28"/>
        <item x="91"/>
        <item x="248"/>
        <item x="142"/>
        <item x="120"/>
        <item x="249"/>
        <item x="179"/>
        <item x="257"/>
        <item x="106"/>
        <item x="103"/>
        <item x="100"/>
        <item x="23"/>
        <item x="182"/>
        <item x="81"/>
        <item x="74"/>
        <item x="232"/>
        <item x="136"/>
        <item x="231"/>
        <item x="197"/>
        <item x="188"/>
        <item x="72"/>
        <item x="246"/>
        <item x="251"/>
        <item x="206"/>
        <item x="53"/>
        <item x="187"/>
        <item x="190"/>
        <item x="98"/>
        <item x="201"/>
        <item x="70"/>
        <item x="183"/>
        <item x="134"/>
        <item x="237"/>
        <item x="265"/>
        <item x="30"/>
        <item x="125"/>
        <item x="19"/>
        <item x="67"/>
        <item x="35"/>
        <item x="253"/>
        <item x="230"/>
        <item x="216"/>
        <item x="212"/>
        <item t="default"/>
      </items>
    </pivotField>
    <pivotField showAll="0">
      <items count="5">
        <item x="1"/>
        <item x="0"/>
        <item x="2"/>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9"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s>
  <rowFields count="2">
    <field x="20"/>
    <field x="19"/>
  </rowFields>
  <rowItems count="14">
    <i>
      <x v="1"/>
    </i>
    <i r="1">
      <x v="1"/>
    </i>
    <i r="1">
      <x v="2"/>
    </i>
    <i r="1">
      <x v="3"/>
    </i>
    <i r="1">
      <x v="4"/>
    </i>
    <i r="1">
      <x v="5"/>
    </i>
    <i r="1">
      <x v="6"/>
    </i>
    <i r="1">
      <x v="7"/>
    </i>
    <i r="1">
      <x v="8"/>
    </i>
    <i r="1">
      <x v="9"/>
    </i>
    <i r="1">
      <x v="10"/>
    </i>
    <i r="1">
      <x v="11"/>
    </i>
    <i r="1">
      <x v="12"/>
    </i>
    <i t="grand">
      <x/>
    </i>
  </rowItems>
  <colItems count="1">
    <i/>
  </colItems>
  <dataFields count="1">
    <dataField name="Sum of Revenue" fld="11"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BCA3EB8-C855-4E9F-88E7-07E3A6B7B0A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8" firstHeaderRow="0" firstDataRow="1" firstDataCol="1"/>
  <pivotFields count="21">
    <pivotField showAll="0"/>
    <pivotField numFmtId="14" showAll="0">
      <items count="271">
        <item x="66"/>
        <item x="193"/>
        <item x="159"/>
        <item x="68"/>
        <item x="191"/>
        <item x="42"/>
        <item x="234"/>
        <item x="168"/>
        <item x="10"/>
        <item x="109"/>
        <item x="155"/>
        <item x="76"/>
        <item x="266"/>
        <item x="113"/>
        <item x="233"/>
        <item x="164"/>
        <item x="111"/>
        <item x="225"/>
        <item x="158"/>
        <item x="146"/>
        <item x="227"/>
        <item x="135"/>
        <item x="195"/>
        <item x="9"/>
        <item x="205"/>
        <item x="89"/>
        <item x="172"/>
        <item x="222"/>
        <item x="65"/>
        <item x="261"/>
        <item x="219"/>
        <item x="262"/>
        <item x="69"/>
        <item x="173"/>
        <item x="1"/>
        <item x="88"/>
        <item x="152"/>
        <item x="154"/>
        <item x="162"/>
        <item x="238"/>
        <item x="260"/>
        <item x="22"/>
        <item x="40"/>
        <item x="75"/>
        <item x="235"/>
        <item x="55"/>
        <item x="93"/>
        <item x="156"/>
        <item x="31"/>
        <item x="63"/>
        <item x="132"/>
        <item x="48"/>
        <item x="189"/>
        <item x="170"/>
        <item x="143"/>
        <item x="207"/>
        <item x="110"/>
        <item x="13"/>
        <item x="24"/>
        <item x="211"/>
        <item x="218"/>
        <item x="236"/>
        <item x="124"/>
        <item x="268"/>
        <item x="107"/>
        <item x="117"/>
        <item x="209"/>
        <item x="169"/>
        <item x="79"/>
        <item x="73"/>
        <item x="71"/>
        <item x="83"/>
        <item x="112"/>
        <item x="38"/>
        <item x="217"/>
        <item x="121"/>
        <item x="16"/>
        <item x="54"/>
        <item x="119"/>
        <item x="186"/>
        <item x="208"/>
        <item x="174"/>
        <item x="131"/>
        <item x="198"/>
        <item x="41"/>
        <item x="84"/>
        <item x="221"/>
        <item x="20"/>
        <item x="171"/>
        <item x="29"/>
        <item x="39"/>
        <item x="99"/>
        <item x="151"/>
        <item x="77"/>
        <item x="215"/>
        <item x="36"/>
        <item x="224"/>
        <item x="37"/>
        <item x="34"/>
        <item x="148"/>
        <item x="130"/>
        <item x="78"/>
        <item x="45"/>
        <item x="185"/>
        <item x="177"/>
        <item x="139"/>
        <item x="114"/>
        <item x="196"/>
        <item x="56"/>
        <item x="181"/>
        <item x="242"/>
        <item x="228"/>
        <item x="254"/>
        <item x="115"/>
        <item x="0"/>
        <item x="47"/>
        <item x="108"/>
        <item x="52"/>
        <item x="167"/>
        <item x="194"/>
        <item x="15"/>
        <item x="263"/>
        <item x="116"/>
        <item x="122"/>
        <item x="180"/>
        <item x="255"/>
        <item x="32"/>
        <item x="92"/>
        <item x="204"/>
        <item x="5"/>
        <item x="87"/>
        <item x="95"/>
        <item x="157"/>
        <item x="153"/>
        <item x="244"/>
        <item x="178"/>
        <item x="150"/>
        <item x="62"/>
        <item x="94"/>
        <item x="46"/>
        <item x="11"/>
        <item x="250"/>
        <item x="214"/>
        <item x="60"/>
        <item x="86"/>
        <item x="85"/>
        <item x="184"/>
        <item x="101"/>
        <item x="137"/>
        <item x="7"/>
        <item x="192"/>
        <item x="200"/>
        <item x="223"/>
        <item x="126"/>
        <item x="64"/>
        <item x="25"/>
        <item x="160"/>
        <item x="175"/>
        <item x="163"/>
        <item x="203"/>
        <item x="145"/>
        <item x="6"/>
        <item x="149"/>
        <item x="127"/>
        <item x="129"/>
        <item x="243"/>
        <item x="80"/>
        <item x="226"/>
        <item x="210"/>
        <item x="17"/>
        <item x="133"/>
        <item x="147"/>
        <item x="21"/>
        <item x="50"/>
        <item x="105"/>
        <item x="239"/>
        <item x="59"/>
        <item x="49"/>
        <item x="118"/>
        <item x="51"/>
        <item x="176"/>
        <item x="138"/>
        <item x="141"/>
        <item x="259"/>
        <item x="245"/>
        <item x="96"/>
        <item x="33"/>
        <item x="18"/>
        <item x="104"/>
        <item x="213"/>
        <item x="27"/>
        <item x="199"/>
        <item x="14"/>
        <item x="229"/>
        <item x="82"/>
        <item x="220"/>
        <item x="269"/>
        <item x="26"/>
        <item x="140"/>
        <item x="44"/>
        <item x="12"/>
        <item x="58"/>
        <item x="61"/>
        <item x="247"/>
        <item x="161"/>
        <item x="267"/>
        <item x="4"/>
        <item x="144"/>
        <item x="102"/>
        <item x="3"/>
        <item x="128"/>
        <item x="2"/>
        <item x="123"/>
        <item x="166"/>
        <item x="241"/>
        <item x="57"/>
        <item x="240"/>
        <item x="8"/>
        <item x="43"/>
        <item x="165"/>
        <item x="202"/>
        <item x="256"/>
        <item x="90"/>
        <item x="97"/>
        <item x="252"/>
        <item x="264"/>
        <item x="258"/>
        <item x="28"/>
        <item x="91"/>
        <item x="248"/>
        <item x="142"/>
        <item x="120"/>
        <item x="249"/>
        <item x="179"/>
        <item x="257"/>
        <item x="106"/>
        <item x="103"/>
        <item x="100"/>
        <item x="23"/>
        <item x="182"/>
        <item x="81"/>
        <item x="74"/>
        <item x="232"/>
        <item x="136"/>
        <item x="231"/>
        <item x="197"/>
        <item x="188"/>
        <item x="72"/>
        <item x="246"/>
        <item x="251"/>
        <item x="206"/>
        <item x="53"/>
        <item x="187"/>
        <item x="190"/>
        <item x="98"/>
        <item x="201"/>
        <item x="70"/>
        <item x="183"/>
        <item x="134"/>
        <item x="237"/>
        <item x="265"/>
        <item x="30"/>
        <item x="125"/>
        <item x="19"/>
        <item x="67"/>
        <item x="35"/>
        <item x="253"/>
        <item x="230"/>
        <item x="216"/>
        <item x="212"/>
        <item t="default"/>
      </items>
    </pivotField>
    <pivotField showAll="0">
      <items count="5">
        <item x="1"/>
        <item x="0"/>
        <item x="2"/>
        <item x="3"/>
        <item t="default"/>
      </items>
    </pivotField>
    <pivotField showAll="0"/>
    <pivotField showAll="0"/>
    <pivotField showAll="0"/>
    <pivotField axis="axisRow" showAll="0">
      <items count="5">
        <item x="1"/>
        <item x="0"/>
        <item x="2"/>
        <item x="3"/>
        <item t="default"/>
      </items>
    </pivotField>
    <pivotField showAll="0"/>
    <pivotField showAll="0"/>
    <pivotField showAll="0"/>
    <pivotField showAll="0"/>
    <pivotField dataField="1" showAll="0"/>
    <pivotField showAll="0"/>
    <pivotField showAll="0"/>
    <pivotField showAll="0"/>
    <pivotField dataField="1" showAll="0"/>
    <pivotField numFmtId="9" showAll="0"/>
    <pivotField showAll="0"/>
    <pivotField showAll="0"/>
    <pivotField showAll="0" defaultSubtotal="0"/>
    <pivotField showAll="0" defaultSubtotal="0">
      <items count="4">
        <item x="0"/>
        <item x="1"/>
        <item x="2"/>
        <item x="3"/>
      </items>
    </pivotField>
  </pivotFields>
  <rowFields count="1">
    <field x="6"/>
  </rowFields>
  <rowItems count="5">
    <i>
      <x/>
    </i>
    <i>
      <x v="1"/>
    </i>
    <i>
      <x v="2"/>
    </i>
    <i>
      <x v="3"/>
    </i>
    <i t="grand">
      <x/>
    </i>
  </rowItems>
  <colFields count="1">
    <field x="-2"/>
  </colFields>
  <colItems count="2">
    <i>
      <x/>
    </i>
    <i i="1">
      <x v="1"/>
    </i>
  </colItems>
  <dataFields count="2">
    <dataField name="Sum of Revenue" fld="11" baseField="6" baseItem="0"/>
    <dataField name="Sum of Profit" fld="1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0ACBAD-9192-4172-B52A-E823130C1A6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21">
    <pivotField showAll="0"/>
    <pivotField numFmtId="14" showAll="0">
      <items count="271">
        <item x="66"/>
        <item x="193"/>
        <item x="159"/>
        <item x="68"/>
        <item x="191"/>
        <item x="42"/>
        <item x="234"/>
        <item x="168"/>
        <item x="10"/>
        <item x="109"/>
        <item x="155"/>
        <item x="76"/>
        <item x="266"/>
        <item x="113"/>
        <item x="233"/>
        <item x="164"/>
        <item x="111"/>
        <item x="225"/>
        <item x="158"/>
        <item x="146"/>
        <item x="227"/>
        <item x="135"/>
        <item x="195"/>
        <item x="9"/>
        <item x="205"/>
        <item x="89"/>
        <item x="172"/>
        <item x="222"/>
        <item x="65"/>
        <item x="261"/>
        <item x="219"/>
        <item x="262"/>
        <item x="69"/>
        <item x="173"/>
        <item x="1"/>
        <item x="88"/>
        <item x="152"/>
        <item x="154"/>
        <item x="162"/>
        <item x="238"/>
        <item x="260"/>
        <item x="22"/>
        <item x="40"/>
        <item x="75"/>
        <item x="235"/>
        <item x="55"/>
        <item x="93"/>
        <item x="156"/>
        <item x="31"/>
        <item x="63"/>
        <item x="132"/>
        <item x="48"/>
        <item x="189"/>
        <item x="170"/>
        <item x="143"/>
        <item x="207"/>
        <item x="110"/>
        <item x="13"/>
        <item x="24"/>
        <item x="211"/>
        <item x="218"/>
        <item x="236"/>
        <item x="124"/>
        <item x="268"/>
        <item x="107"/>
        <item x="117"/>
        <item x="209"/>
        <item x="169"/>
        <item x="79"/>
        <item x="73"/>
        <item x="71"/>
        <item x="83"/>
        <item x="112"/>
        <item x="38"/>
        <item x="217"/>
        <item x="121"/>
        <item x="16"/>
        <item x="54"/>
        <item x="119"/>
        <item x="186"/>
        <item x="208"/>
        <item x="174"/>
        <item x="131"/>
        <item x="198"/>
        <item x="41"/>
        <item x="84"/>
        <item x="221"/>
        <item x="20"/>
        <item x="171"/>
        <item x="29"/>
        <item x="39"/>
        <item x="99"/>
        <item x="151"/>
        <item x="77"/>
        <item x="215"/>
        <item x="36"/>
        <item x="224"/>
        <item x="37"/>
        <item x="34"/>
        <item x="148"/>
        <item x="130"/>
        <item x="78"/>
        <item x="45"/>
        <item x="185"/>
        <item x="177"/>
        <item x="139"/>
        <item x="114"/>
        <item x="196"/>
        <item x="56"/>
        <item x="181"/>
        <item x="242"/>
        <item x="228"/>
        <item x="254"/>
        <item x="115"/>
        <item x="0"/>
        <item x="47"/>
        <item x="108"/>
        <item x="52"/>
        <item x="167"/>
        <item x="194"/>
        <item x="15"/>
        <item x="263"/>
        <item x="116"/>
        <item x="122"/>
        <item x="180"/>
        <item x="255"/>
        <item x="32"/>
        <item x="92"/>
        <item x="204"/>
        <item x="5"/>
        <item x="87"/>
        <item x="95"/>
        <item x="157"/>
        <item x="153"/>
        <item x="244"/>
        <item x="178"/>
        <item x="150"/>
        <item x="62"/>
        <item x="94"/>
        <item x="46"/>
        <item x="11"/>
        <item x="250"/>
        <item x="214"/>
        <item x="60"/>
        <item x="86"/>
        <item x="85"/>
        <item x="184"/>
        <item x="101"/>
        <item x="137"/>
        <item x="7"/>
        <item x="192"/>
        <item x="200"/>
        <item x="223"/>
        <item x="126"/>
        <item x="64"/>
        <item x="25"/>
        <item x="160"/>
        <item x="175"/>
        <item x="163"/>
        <item x="203"/>
        <item x="145"/>
        <item x="6"/>
        <item x="149"/>
        <item x="127"/>
        <item x="129"/>
        <item x="243"/>
        <item x="80"/>
        <item x="226"/>
        <item x="210"/>
        <item x="17"/>
        <item x="133"/>
        <item x="147"/>
        <item x="21"/>
        <item x="50"/>
        <item x="105"/>
        <item x="239"/>
        <item x="59"/>
        <item x="49"/>
        <item x="118"/>
        <item x="51"/>
        <item x="176"/>
        <item x="138"/>
        <item x="141"/>
        <item x="259"/>
        <item x="245"/>
        <item x="96"/>
        <item x="33"/>
        <item x="18"/>
        <item x="104"/>
        <item x="213"/>
        <item x="27"/>
        <item x="199"/>
        <item x="14"/>
        <item x="229"/>
        <item x="82"/>
        <item x="220"/>
        <item x="269"/>
        <item x="26"/>
        <item x="140"/>
        <item x="44"/>
        <item x="12"/>
        <item x="58"/>
        <item x="61"/>
        <item x="247"/>
        <item x="161"/>
        <item x="267"/>
        <item x="4"/>
        <item x="144"/>
        <item x="102"/>
        <item x="3"/>
        <item x="128"/>
        <item x="2"/>
        <item x="123"/>
        <item x="166"/>
        <item x="241"/>
        <item x="57"/>
        <item x="240"/>
        <item x="8"/>
        <item x="43"/>
        <item x="165"/>
        <item x="202"/>
        <item x="256"/>
        <item x="90"/>
        <item x="97"/>
        <item x="252"/>
        <item x="264"/>
        <item x="258"/>
        <item x="28"/>
        <item x="91"/>
        <item x="248"/>
        <item x="142"/>
        <item x="120"/>
        <item x="249"/>
        <item x="179"/>
        <item x="257"/>
        <item x="106"/>
        <item x="103"/>
        <item x="100"/>
        <item x="23"/>
        <item x="182"/>
        <item x="81"/>
        <item x="74"/>
        <item x="232"/>
        <item x="136"/>
        <item x="231"/>
        <item x="197"/>
        <item x="188"/>
        <item x="72"/>
        <item x="246"/>
        <item x="251"/>
        <item x="206"/>
        <item x="53"/>
        <item x="187"/>
        <item x="190"/>
        <item x="98"/>
        <item x="201"/>
        <item x="70"/>
        <item x="183"/>
        <item x="134"/>
        <item x="237"/>
        <item x="265"/>
        <item x="30"/>
        <item x="125"/>
        <item x="19"/>
        <item x="67"/>
        <item x="35"/>
        <item x="253"/>
        <item x="230"/>
        <item x="216"/>
        <item x="212"/>
        <item t="default"/>
      </items>
    </pivotField>
    <pivotField axis="axisRow" showAll="0">
      <items count="5">
        <item x="1"/>
        <item x="0"/>
        <item x="2"/>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9" showAll="0"/>
    <pivotField showAll="0"/>
    <pivotField showAll="0"/>
    <pivotField showAll="0" defaultSubtotal="0"/>
    <pivotField showAll="0" defaultSubtotal="0">
      <items count="4">
        <item x="0"/>
        <item x="1"/>
        <item x="2"/>
        <item x="3"/>
      </items>
    </pivotField>
  </pivotFields>
  <rowFields count="1">
    <field x="2"/>
  </rowFields>
  <rowItems count="5">
    <i>
      <x/>
    </i>
    <i>
      <x v="1"/>
    </i>
    <i>
      <x v="2"/>
    </i>
    <i>
      <x v="3"/>
    </i>
    <i t="grand">
      <x/>
    </i>
  </rowItems>
  <colItems count="1">
    <i/>
  </colItems>
  <dataFields count="1">
    <dataField name="Sum of Revenue" fld="11" baseField="0" baseItem="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8F439F-26E3-46AD-9F15-865D15CBB86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10" firstHeaderRow="0" firstDataRow="1" firstDataCol="1"/>
  <pivotFields count="21">
    <pivotField showAll="0"/>
    <pivotField numFmtId="14" showAll="0">
      <items count="271">
        <item x="66"/>
        <item x="193"/>
        <item x="159"/>
        <item x="68"/>
        <item x="191"/>
        <item x="42"/>
        <item x="234"/>
        <item x="168"/>
        <item x="10"/>
        <item x="109"/>
        <item x="155"/>
        <item x="76"/>
        <item x="266"/>
        <item x="113"/>
        <item x="233"/>
        <item x="164"/>
        <item x="111"/>
        <item x="225"/>
        <item x="158"/>
        <item x="146"/>
        <item x="227"/>
        <item x="135"/>
        <item x="195"/>
        <item x="9"/>
        <item x="205"/>
        <item x="89"/>
        <item x="172"/>
        <item x="222"/>
        <item x="65"/>
        <item x="261"/>
        <item x="219"/>
        <item x="262"/>
        <item x="69"/>
        <item x="173"/>
        <item x="1"/>
        <item x="88"/>
        <item x="152"/>
        <item x="154"/>
        <item x="162"/>
        <item x="238"/>
        <item x="260"/>
        <item x="22"/>
        <item x="40"/>
        <item x="75"/>
        <item x="235"/>
        <item x="55"/>
        <item x="93"/>
        <item x="156"/>
        <item x="31"/>
        <item x="63"/>
        <item x="132"/>
        <item x="48"/>
        <item x="189"/>
        <item x="170"/>
        <item x="143"/>
        <item x="207"/>
        <item x="110"/>
        <item x="13"/>
        <item x="24"/>
        <item x="211"/>
        <item x="218"/>
        <item x="236"/>
        <item x="124"/>
        <item x="268"/>
        <item x="107"/>
        <item x="117"/>
        <item x="209"/>
        <item x="169"/>
        <item x="79"/>
        <item x="73"/>
        <item x="71"/>
        <item x="83"/>
        <item x="112"/>
        <item x="38"/>
        <item x="217"/>
        <item x="121"/>
        <item x="16"/>
        <item x="54"/>
        <item x="119"/>
        <item x="186"/>
        <item x="208"/>
        <item x="174"/>
        <item x="131"/>
        <item x="198"/>
        <item x="41"/>
        <item x="84"/>
        <item x="221"/>
        <item x="20"/>
        <item x="171"/>
        <item x="29"/>
        <item x="39"/>
        <item x="99"/>
        <item x="151"/>
        <item x="77"/>
        <item x="215"/>
        <item x="36"/>
        <item x="224"/>
        <item x="37"/>
        <item x="34"/>
        <item x="148"/>
        <item x="130"/>
        <item x="78"/>
        <item x="45"/>
        <item x="185"/>
        <item x="177"/>
        <item x="139"/>
        <item x="114"/>
        <item x="196"/>
        <item x="56"/>
        <item x="181"/>
        <item x="242"/>
        <item x="228"/>
        <item x="254"/>
        <item x="115"/>
        <item x="0"/>
        <item x="47"/>
        <item x="108"/>
        <item x="52"/>
        <item x="167"/>
        <item x="194"/>
        <item x="15"/>
        <item x="263"/>
        <item x="116"/>
        <item x="122"/>
        <item x="180"/>
        <item x="255"/>
        <item x="32"/>
        <item x="92"/>
        <item x="204"/>
        <item x="5"/>
        <item x="87"/>
        <item x="95"/>
        <item x="157"/>
        <item x="153"/>
        <item x="244"/>
        <item x="178"/>
        <item x="150"/>
        <item x="62"/>
        <item x="94"/>
        <item x="46"/>
        <item x="11"/>
        <item x="250"/>
        <item x="214"/>
        <item x="60"/>
        <item x="86"/>
        <item x="85"/>
        <item x="184"/>
        <item x="101"/>
        <item x="137"/>
        <item x="7"/>
        <item x="192"/>
        <item x="200"/>
        <item x="223"/>
        <item x="126"/>
        <item x="64"/>
        <item x="25"/>
        <item x="160"/>
        <item x="175"/>
        <item x="163"/>
        <item x="203"/>
        <item x="145"/>
        <item x="6"/>
        <item x="149"/>
        <item x="127"/>
        <item x="129"/>
        <item x="243"/>
        <item x="80"/>
        <item x="226"/>
        <item x="210"/>
        <item x="17"/>
        <item x="133"/>
        <item x="147"/>
        <item x="21"/>
        <item x="50"/>
        <item x="105"/>
        <item x="239"/>
        <item x="59"/>
        <item x="49"/>
        <item x="118"/>
        <item x="51"/>
        <item x="176"/>
        <item x="138"/>
        <item x="141"/>
        <item x="259"/>
        <item x="245"/>
        <item x="96"/>
        <item x="33"/>
        <item x="18"/>
        <item x="104"/>
        <item x="213"/>
        <item x="27"/>
        <item x="199"/>
        <item x="14"/>
        <item x="229"/>
        <item x="82"/>
        <item x="220"/>
        <item x="269"/>
        <item x="26"/>
        <item x="140"/>
        <item x="44"/>
        <item x="12"/>
        <item x="58"/>
        <item x="61"/>
        <item x="247"/>
        <item x="161"/>
        <item x="267"/>
        <item x="4"/>
        <item x="144"/>
        <item x="102"/>
        <item x="3"/>
        <item x="128"/>
        <item x="2"/>
        <item x="123"/>
        <item x="166"/>
        <item x="241"/>
        <item x="57"/>
        <item x="240"/>
        <item x="8"/>
        <item x="43"/>
        <item x="165"/>
        <item x="202"/>
        <item x="256"/>
        <item x="90"/>
        <item x="97"/>
        <item x="252"/>
        <item x="264"/>
        <item x="258"/>
        <item x="28"/>
        <item x="91"/>
        <item x="248"/>
        <item x="142"/>
        <item x="120"/>
        <item x="249"/>
        <item x="179"/>
        <item x="257"/>
        <item x="106"/>
        <item x="103"/>
        <item x="100"/>
        <item x="23"/>
        <item x="182"/>
        <item x="81"/>
        <item x="74"/>
        <item x="232"/>
        <item x="136"/>
        <item x="231"/>
        <item x="197"/>
        <item x="188"/>
        <item x="72"/>
        <item x="246"/>
        <item x="251"/>
        <item x="206"/>
        <item x="53"/>
        <item x="187"/>
        <item x="190"/>
        <item x="98"/>
        <item x="201"/>
        <item x="70"/>
        <item x="183"/>
        <item x="134"/>
        <item x="237"/>
        <item x="265"/>
        <item x="30"/>
        <item x="125"/>
        <item x="19"/>
        <item x="67"/>
        <item x="35"/>
        <item x="253"/>
        <item x="230"/>
        <item x="216"/>
        <item x="212"/>
        <item t="default"/>
      </items>
    </pivotField>
    <pivotField showAll="0">
      <items count="5">
        <item x="1"/>
        <item x="0"/>
        <item x="2"/>
        <item x="3"/>
        <item t="default"/>
      </items>
    </pivotField>
    <pivotField axis="axisRow" showAll="0">
      <items count="7">
        <item x="5"/>
        <item x="2"/>
        <item x="1"/>
        <item x="0"/>
        <item x="4"/>
        <item x="3"/>
        <item t="default"/>
      </items>
    </pivotField>
    <pivotField showAll="0"/>
    <pivotField showAll="0"/>
    <pivotField showAll="0"/>
    <pivotField showAll="0"/>
    <pivotField showAll="0"/>
    <pivotField showAll="0"/>
    <pivotField showAll="0"/>
    <pivotField dataField="1" showAll="0"/>
    <pivotField showAll="0"/>
    <pivotField showAll="0"/>
    <pivotField showAll="0"/>
    <pivotField dataField="1" showAll="0"/>
    <pivotField numFmtId="9" showAll="0"/>
    <pivotField showAll="0"/>
    <pivotField showAll="0"/>
    <pivotField showAll="0" defaultSubtotal="0"/>
    <pivotField showAll="0" defaultSubtotal="0">
      <items count="4">
        <item x="0"/>
        <item x="1"/>
        <item x="2"/>
        <item x="3"/>
      </items>
    </pivotField>
  </pivotFields>
  <rowFields count="1">
    <field x="3"/>
  </rowFields>
  <rowItems count="7">
    <i>
      <x/>
    </i>
    <i>
      <x v="1"/>
    </i>
    <i>
      <x v="2"/>
    </i>
    <i>
      <x v="3"/>
    </i>
    <i>
      <x v="4"/>
    </i>
    <i>
      <x v="5"/>
    </i>
    <i t="grand">
      <x/>
    </i>
  </rowItems>
  <colFields count="1">
    <field x="-2"/>
  </colFields>
  <colItems count="2">
    <i>
      <x/>
    </i>
    <i i="1">
      <x v="1"/>
    </i>
  </colItems>
  <dataFields count="2">
    <dataField name="Sum of Revenue" fld="11" baseField="0" baseItem="0"/>
    <dataField name="Sum of Profit" fld="15"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E5F85CC4-BF4C-473A-ACD7-D074527907D2}" autoFormatId="16" applyNumberFormats="0" applyBorderFormats="0" applyFontFormats="0" applyPatternFormats="0" applyAlignmentFormats="0" applyWidthHeightFormats="0">
  <queryTableRefresh nextId="15">
    <queryTableFields count="14">
      <queryTableField id="1" name="Order_ID" tableColumnId="1"/>
      <queryTableField id="2" name="Order_Date" tableColumnId="2"/>
      <queryTableField id="3" name="Region" tableColumnId="3"/>
      <queryTableField id="4" name="Sales_Rep" tableColumnId="4"/>
      <queryTableField id="5" name="Customer" tableColumnId="5"/>
      <queryTableField id="6" name="Channel" tableColumnId="6"/>
      <queryTableField id="7" name="Category" tableColumnId="7"/>
      <queryTableField id="8" name="Product" tableColumnId="8"/>
      <queryTableField id="9" name="Units" tableColumnId="9"/>
      <queryTableField id="10" name="Unit_Price" tableColumnId="10"/>
      <queryTableField id="11" name="Discount" tableColumnId="11"/>
      <queryTableField id="12" name="Revenue" tableColumnId="12"/>
      <queryTableField id="13" name="Cost" tableColumnId="13"/>
      <queryTableField id="14" name="Targe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B6C1B84-53EB-42B5-93DE-C85129B58321}" sourceName="Region">
  <pivotTables>
    <pivotTable tabId="12" name="PivotTable3"/>
    <pivotTable tabId="6" name="PivotTable1"/>
    <pivotTable tabId="13" name="PivotTable4"/>
    <pivotTable tabId="14" name="PivotTable5"/>
    <pivotTable tabId="10" name="PivotTable2"/>
  </pivotTables>
  <data>
    <tabular pivotCacheId="947092115">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7627FFE-650F-4B63-A969-C05A222924C5}" cache="Slicer_Region" caption="Region" style="SlicerStyleOther2"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440A5A-3299-4C37-ACFE-4D809F18EF01}" name="SalesData" displayName="SalesData" ref="A1:S501" totalsRowShown="0" headerRowDxfId="33" dataDxfId="32">
  <autoFilter ref="A1:S501" xr:uid="{E3440A5A-3299-4C37-ACFE-4D809F18EF01}"/>
  <tableColumns count="19">
    <tableColumn id="1" xr3:uid="{97698A8B-35DF-4CAD-BB76-CF9C0A6F6DDE}" name="Order_ID" dataDxfId="31"/>
    <tableColumn id="2" xr3:uid="{50A2388C-0313-4934-8259-ADCFA1044C85}" name="Order_Date" dataDxfId="30"/>
    <tableColumn id="3" xr3:uid="{C42E63E3-B171-49B1-BC8A-C0C4FA37B0CD}" name="Region" dataDxfId="29"/>
    <tableColumn id="4" xr3:uid="{26A1C6E7-056A-4299-843F-668B92C1DBC3}" name="Sales_Rep" dataDxfId="28"/>
    <tableColumn id="5" xr3:uid="{81CD2053-4E42-4EDA-B232-94F9B04CD05C}" name="Customer" dataDxfId="27"/>
    <tableColumn id="6" xr3:uid="{BEEAE5B3-BFF2-41D7-A899-9B68BE8D9B74}" name="Channel" dataDxfId="26"/>
    <tableColumn id="7" xr3:uid="{B189FA0A-AD1E-4FF0-A70F-8FBE5E5A8356}" name="Category" dataDxfId="25"/>
    <tableColumn id="8" xr3:uid="{E2D9D752-17DF-4D01-9D2A-40EB8D358491}" name="Product" dataDxfId="24"/>
    <tableColumn id="9" xr3:uid="{972EC382-A18D-41C1-B5F8-63D629B443B6}" name="Units" dataDxfId="23"/>
    <tableColumn id="10" xr3:uid="{735AE054-403E-492F-B995-4341928347D8}" name="Unit_Price" dataDxfId="22"/>
    <tableColumn id="11" xr3:uid="{84483352-8436-481C-B468-E88CFB642C27}" name="Discount" dataDxfId="21"/>
    <tableColumn id="12" xr3:uid="{5B91445B-D1AD-4D14-A5E2-0774E0A7BA00}" name="Revenue" dataDxfId="20"/>
    <tableColumn id="13" xr3:uid="{BE8A160D-B6C1-48D4-AA58-3E9C2184B811}" name="Cost" dataDxfId="19"/>
    <tableColumn id="14" xr3:uid="{7B616162-5F28-44D7-A3F1-F62005848F09}" name="Target" dataDxfId="18"/>
    <tableColumn id="15" xr3:uid="{92456283-B307-44BF-B4B0-626F0DE8964A}" name="Standard_Price" dataDxfId="17">
      <calculatedColumnFormula>_xlfn.XLOOKUP(SalesData[[#This Row],[Product]],ProductLookup[Product],ProductLookup[Standard_Price],"Not Found")</calculatedColumnFormula>
    </tableColumn>
    <tableColumn id="16" xr3:uid="{72AB3874-23D8-42DF-B779-E478DBB57FAE}" name="Profit" dataDxfId="16">
      <calculatedColumnFormula>SalesData[[#This Row],[Revenue]]-SalesData[[#This Row],[Cost]]</calculatedColumnFormula>
    </tableColumn>
    <tableColumn id="17" xr3:uid="{039DD4A9-7166-4471-93DC-D99CE57E97F6}" name="Profit_Margin" dataDxfId="15" dataCellStyle="Percent">
      <calculatedColumnFormula>IFERROR(SalesData[[#This Row],[Profit]]/SalesData[[#This Row],[Revenue]],0)</calculatedColumnFormula>
    </tableColumn>
    <tableColumn id="18" xr3:uid="{BC2C6EFF-AC81-4BC1-92E2-5B09AFCC1CFB}" name="Target_Variance" dataDxfId="14">
      <calculatedColumnFormula>SalesData[[#This Row],[Revenue]]-SalesData[[#This Row],[Target]]</calculatedColumnFormula>
    </tableColumn>
    <tableColumn id="19" xr3:uid="{61F33C07-7D71-4190-BDE8-9CEEE97D54E3}" name="Target_Status" dataDxfId="13">
      <calculatedColumnFormula>IF(R2&gt;=0,"Above Target","Below Target")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E2BC9DA-8C5F-49F3-A93B-65080B8DCD3E}" name="Sales_MIS_Practice_Data_500_Rows__2" displayName="Sales_MIS_Practice_Data_500_Rows__2" ref="A1:N501" tableType="queryTable" totalsRowShown="0">
  <autoFilter ref="A1:N501" xr:uid="{EE2BC9DA-8C5F-49F3-A93B-65080B8DCD3E}"/>
  <tableColumns count="14">
    <tableColumn id="1" xr3:uid="{CBD451A5-0C7C-47F9-8426-8BE169E05F6B}" uniqueName="1" name="Order_ID" queryTableFieldId="1" dataDxfId="12"/>
    <tableColumn id="2" xr3:uid="{747FA372-1255-46BB-B73F-FF1ED80C99DC}" uniqueName="2" name="Order_Date" queryTableFieldId="2" dataDxfId="11"/>
    <tableColumn id="3" xr3:uid="{7B34B93D-DF1A-4C67-BED9-F5AB763513E0}" uniqueName="3" name="Region" queryTableFieldId="3" dataDxfId="10"/>
    <tableColumn id="4" xr3:uid="{AC69B0F0-CFDE-4CA2-B76D-7FC70CC7549C}" uniqueName="4" name="Sales_Rep" queryTableFieldId="4" dataDxfId="9"/>
    <tableColumn id="5" xr3:uid="{1DA3B4AF-FF26-4081-93F5-9E3E89CF17C9}" uniqueName="5" name="Customer" queryTableFieldId="5" dataDxfId="8"/>
    <tableColumn id="6" xr3:uid="{CD9E68DB-63D6-4374-9282-64D4FE510CCE}" uniqueName="6" name="Channel" queryTableFieldId="6" dataDxfId="7"/>
    <tableColumn id="7" xr3:uid="{D5B30736-9612-47FF-B34F-41C328AD32DE}" uniqueName="7" name="Category" queryTableFieldId="7" dataDxfId="6"/>
    <tableColumn id="8" xr3:uid="{11002426-D974-4568-84C0-490B872D5321}" uniqueName="8" name="Product" queryTableFieldId="8" dataDxfId="5"/>
    <tableColumn id="9" xr3:uid="{93D4E929-D173-460F-A5CB-7ACC06557599}" uniqueName="9" name="Units" queryTableFieldId="9"/>
    <tableColumn id="10" xr3:uid="{1FD20730-3B70-49AD-AE83-C6F56064A2F7}" uniqueName="10" name="Unit_Price" queryTableFieldId="10"/>
    <tableColumn id="11" xr3:uid="{581C1DEB-FF99-4832-99CC-D2C98A48075C}" uniqueName="11" name="Discount" queryTableFieldId="11"/>
    <tableColumn id="12" xr3:uid="{1BBF5CA5-915C-4E28-9FA1-FB8D213751E3}" uniqueName="12" name="Revenue" queryTableFieldId="12"/>
    <tableColumn id="13" xr3:uid="{4575780E-E491-48A5-8B5A-D276D074D2AC}" uniqueName="13" name="Cost" queryTableFieldId="13"/>
    <tableColumn id="14" xr3:uid="{92B2081E-7814-4ACB-ABFA-3B677E306FD0}" uniqueName="14" name="Target" queryTableFieldId="1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7A5EA3-08D0-460D-A631-DEAB5458B365}" name="ProductLookup" displayName="ProductLookup" ref="A1:D14" totalsRowShown="0">
  <autoFilter ref="A1:D14" xr:uid="{FB7A5EA3-08D0-460D-A631-DEAB5458B365}"/>
  <tableColumns count="4">
    <tableColumn id="1" xr3:uid="{0BCA2F18-B2FE-4C12-8377-82422423F549}" name="Product" dataDxfId="4"/>
    <tableColumn id="2" xr3:uid="{FAE78E7D-548D-4961-8257-213C3A2D6BCD}" name="Category" dataDxfId="3"/>
    <tableColumn id="3" xr3:uid="{42519D91-1CFD-4341-9C37-8363D5DE404C}" name="Standard_Price" dataDxfId="2"/>
    <tableColumn id="4" xr3:uid="{32726AF9-A0F3-4560-A623-8E55FC5A1F20}" name="Target_Multiplier" dataDxfId="1"/>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Slice">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Slice">
      <a:fillStyleLst>
        <a:solidFill>
          <a:schemeClr val="phClr"/>
        </a:solidFill>
        <a:gradFill rotWithShape="1">
          <a:gsLst>
            <a:gs pos="0">
              <a:schemeClr val="phClr">
                <a:tint val="62000"/>
                <a:hueMod val="94000"/>
                <a:satMod val="140000"/>
                <a:lumMod val="110000"/>
              </a:schemeClr>
            </a:gs>
            <a:gs pos="100000">
              <a:schemeClr val="phClr">
                <a:tint val="84000"/>
                <a:satMod val="160000"/>
              </a:schemeClr>
            </a:gs>
          </a:gsLst>
          <a:lin ang="5400000" scaled="0"/>
        </a:gradFill>
        <a:gradFill rotWithShape="1">
          <a:gsLst>
            <a:gs pos="0">
              <a:schemeClr val="phClr">
                <a:tint val="98000"/>
                <a:hueMod val="94000"/>
                <a:satMod val="130000"/>
                <a:lumMod val="128000"/>
              </a:schemeClr>
            </a:gs>
            <a:gs pos="100000">
              <a:schemeClr val="phClr">
                <a:shade val="94000"/>
                <a:lumMod val="88000"/>
              </a:schemeClr>
            </a:gs>
          </a:gsLst>
          <a:lin ang="5400000" scaled="0"/>
        </a:gradFill>
      </a:fillStyleLst>
      <a:lnStyleLst>
        <a:ln w="9525" cap="rnd" cmpd="sng" algn="ctr">
          <a:solidFill>
            <a:schemeClr val="phClr">
              <a:tint val="76000"/>
              <a:alpha val="60000"/>
              <a:hueMod val="94000"/>
            </a:schemeClr>
          </a:solidFill>
          <a:prstDash val="solid"/>
        </a:ln>
        <a:ln w="15875" cap="rnd" cmpd="sng" algn="ctr">
          <a:solidFill>
            <a:schemeClr val="phClr">
              <a:hueMod val="94000"/>
            </a:schemeClr>
          </a:solidFill>
          <a:prstDash val="solid"/>
        </a:ln>
        <a:ln w="28575" cap="rnd"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50800" dist="38100" dir="5400000" rotWithShape="0">
              <a:srgbClr val="000000">
                <a:alpha val="46000"/>
              </a:srgbClr>
            </a:outerShdw>
          </a:effectLst>
          <a:scene3d>
            <a:camera prst="orthographicFront">
              <a:rot lat="0" lon="0" rev="0"/>
            </a:camera>
            <a:lightRig rig="threePt" dir="t"/>
          </a:scene3d>
          <a:sp3d prstMaterial="plastic">
            <a:bevelT w="25400" h="25400"/>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F0147-A861-4977-9E1B-60A268E38BC8}">
  <dimension ref="A3:C10"/>
  <sheetViews>
    <sheetView workbookViewId="0">
      <selection activeCell="B4" sqref="B4"/>
    </sheetView>
  </sheetViews>
  <sheetFormatPr defaultRowHeight="13.8"/>
  <cols>
    <col min="1" max="1" width="12.5" customWidth="1"/>
    <col min="2" max="2" width="14.796875" customWidth="1"/>
    <col min="3" max="3" width="12" customWidth="1"/>
    <col min="4" max="4" width="19.296875" customWidth="1"/>
  </cols>
  <sheetData>
    <row r="3" spans="1:3">
      <c r="A3" s="19" t="s">
        <v>60</v>
      </c>
      <c r="B3" t="s">
        <v>62</v>
      </c>
      <c r="C3" t="s">
        <v>63</v>
      </c>
    </row>
    <row r="4" spans="1:3">
      <c r="A4" s="20" t="s">
        <v>16</v>
      </c>
      <c r="B4" s="33">
        <v>274804.54000000004</v>
      </c>
      <c r="C4" s="33">
        <v>76865.539999999994</v>
      </c>
    </row>
    <row r="5" spans="1:3">
      <c r="A5" s="20" t="s">
        <v>23</v>
      </c>
      <c r="B5" s="33">
        <v>264212.3000000001</v>
      </c>
      <c r="C5" s="33">
        <v>75656.079999999973</v>
      </c>
    </row>
    <row r="6" spans="1:3">
      <c r="A6" s="20" t="s">
        <v>30</v>
      </c>
      <c r="B6" s="33">
        <v>262705.60000000003</v>
      </c>
      <c r="C6" s="33">
        <v>79368.550000000032</v>
      </c>
    </row>
    <row r="7" spans="1:3">
      <c r="A7" s="20" t="s">
        <v>64</v>
      </c>
      <c r="B7" s="33">
        <v>315763.03000000014</v>
      </c>
      <c r="C7" s="33">
        <v>93632.99</v>
      </c>
    </row>
    <row r="8" spans="1:3">
      <c r="A8" s="20" t="s">
        <v>68</v>
      </c>
      <c r="B8" s="33">
        <v>230719.4200000001</v>
      </c>
      <c r="C8" s="33">
        <v>70162.209999999992</v>
      </c>
    </row>
    <row r="9" spans="1:3">
      <c r="A9" s="20" t="s">
        <v>82</v>
      </c>
      <c r="B9" s="33">
        <v>220346.25000000006</v>
      </c>
      <c r="C9" s="33">
        <v>63606.999999999993</v>
      </c>
    </row>
    <row r="10" spans="1:3">
      <c r="A10" s="20" t="s">
        <v>61</v>
      </c>
      <c r="B10" s="33">
        <v>1568551.1400000004</v>
      </c>
      <c r="C10" s="33">
        <v>459292.37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E07AE-54E4-410F-9CC5-2CBD110CA69F}">
  <dimension ref="A3:B17"/>
  <sheetViews>
    <sheetView workbookViewId="0">
      <selection activeCell="N15" sqref="N15"/>
    </sheetView>
  </sheetViews>
  <sheetFormatPr defaultRowHeight="13.8"/>
  <cols>
    <col min="1" max="1" width="12.5" customWidth="1"/>
    <col min="2" max="2" width="14.796875" customWidth="1"/>
  </cols>
  <sheetData>
    <row r="3" spans="1:2">
      <c r="A3" s="19" t="s">
        <v>60</v>
      </c>
      <c r="B3" t="s">
        <v>62</v>
      </c>
    </row>
    <row r="4" spans="1:2">
      <c r="A4" s="20" t="s">
        <v>692</v>
      </c>
      <c r="B4" s="33">
        <v>1568551.14</v>
      </c>
    </row>
    <row r="5" spans="1:2">
      <c r="A5" s="22" t="s">
        <v>680</v>
      </c>
      <c r="B5" s="33">
        <v>171519.03000000003</v>
      </c>
    </row>
    <row r="6" spans="1:2">
      <c r="A6" s="22" t="s">
        <v>681</v>
      </c>
      <c r="B6" s="33">
        <v>130421.45999999996</v>
      </c>
    </row>
    <row r="7" spans="1:2">
      <c r="A7" s="22" t="s">
        <v>682</v>
      </c>
      <c r="B7" s="33">
        <v>111334.26000000002</v>
      </c>
    </row>
    <row r="8" spans="1:2">
      <c r="A8" s="22" t="s">
        <v>683</v>
      </c>
      <c r="B8" s="33">
        <v>135516.07999999999</v>
      </c>
    </row>
    <row r="9" spans="1:2">
      <c r="A9" s="22" t="s">
        <v>684</v>
      </c>
      <c r="B9" s="33">
        <v>110195.21999999997</v>
      </c>
    </row>
    <row r="10" spans="1:2">
      <c r="A10" s="22" t="s">
        <v>685</v>
      </c>
      <c r="B10" s="33">
        <v>81732.39999999998</v>
      </c>
    </row>
    <row r="11" spans="1:2">
      <c r="A11" s="22" t="s">
        <v>686</v>
      </c>
      <c r="B11" s="33">
        <v>161144.95999999999</v>
      </c>
    </row>
    <row r="12" spans="1:2">
      <c r="A12" s="22" t="s">
        <v>687</v>
      </c>
      <c r="B12" s="33">
        <v>166164.42000000001</v>
      </c>
    </row>
    <row r="13" spans="1:2">
      <c r="A13" s="22" t="s">
        <v>688</v>
      </c>
      <c r="B13" s="33">
        <v>151028.03000000006</v>
      </c>
    </row>
    <row r="14" spans="1:2">
      <c r="A14" s="22" t="s">
        <v>689</v>
      </c>
      <c r="B14" s="33">
        <v>110986.31000000001</v>
      </c>
    </row>
    <row r="15" spans="1:2">
      <c r="A15" s="22" t="s">
        <v>690</v>
      </c>
      <c r="B15" s="33">
        <v>116185.74000000002</v>
      </c>
    </row>
    <row r="16" spans="1:2">
      <c r="A16" s="22" t="s">
        <v>691</v>
      </c>
      <c r="B16" s="33">
        <v>122323.22999999997</v>
      </c>
    </row>
    <row r="17" spans="1:2">
      <c r="A17" s="20" t="s">
        <v>61</v>
      </c>
      <c r="B17" s="33">
        <v>1568551.14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D0B63A-B6B2-4FF2-B4D2-9685E0D945A2}">
  <dimension ref="A3:C8"/>
  <sheetViews>
    <sheetView workbookViewId="0">
      <selection activeCell="M16" sqref="M16"/>
    </sheetView>
  </sheetViews>
  <sheetFormatPr defaultRowHeight="13.8"/>
  <cols>
    <col min="1" max="1" width="12.5" customWidth="1"/>
    <col min="2" max="2" width="14.796875" customWidth="1"/>
    <col min="3" max="3" width="12" customWidth="1"/>
  </cols>
  <sheetData>
    <row r="3" spans="1:3">
      <c r="A3" s="19" t="s">
        <v>60</v>
      </c>
      <c r="B3" t="s">
        <v>62</v>
      </c>
      <c r="C3" t="s">
        <v>63</v>
      </c>
    </row>
    <row r="4" spans="1:3">
      <c r="A4" s="20" t="s">
        <v>33</v>
      </c>
      <c r="B4" s="33">
        <v>70999.420000000027</v>
      </c>
      <c r="C4" s="33">
        <v>20736.269999999993</v>
      </c>
    </row>
    <row r="5" spans="1:3">
      <c r="A5" s="20" t="s">
        <v>19</v>
      </c>
      <c r="B5" s="33">
        <v>844947.86999999988</v>
      </c>
      <c r="C5" s="33">
        <v>248787.73999999996</v>
      </c>
    </row>
    <row r="6" spans="1:3">
      <c r="A6" s="20" t="s">
        <v>26</v>
      </c>
      <c r="B6" s="33">
        <v>339576.38000000035</v>
      </c>
      <c r="C6" s="33">
        <v>99655.570000000036</v>
      </c>
    </row>
    <row r="7" spans="1:3">
      <c r="A7" s="20" t="s">
        <v>45</v>
      </c>
      <c r="B7" s="33">
        <v>313027.47000000003</v>
      </c>
      <c r="C7" s="33">
        <v>90112.790000000037</v>
      </c>
    </row>
    <row r="8" spans="1:3">
      <c r="A8" s="20" t="s">
        <v>61</v>
      </c>
      <c r="B8" s="33">
        <v>1568551.1400000004</v>
      </c>
      <c r="C8" s="33">
        <v>459292.37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ABC08-CA97-4A1A-ACC4-B98DC0FB2412}">
  <dimension ref="A3:B8"/>
  <sheetViews>
    <sheetView workbookViewId="0">
      <selection activeCell="N15" sqref="N15"/>
    </sheetView>
  </sheetViews>
  <sheetFormatPr defaultRowHeight="13.8"/>
  <cols>
    <col min="1" max="1" width="12.5" customWidth="1"/>
    <col min="2" max="2" width="14.796875" customWidth="1"/>
  </cols>
  <sheetData>
    <row r="3" spans="1:2">
      <c r="A3" s="19" t="s">
        <v>60</v>
      </c>
      <c r="B3" t="s">
        <v>62</v>
      </c>
    </row>
    <row r="4" spans="1:2">
      <c r="A4" s="20" t="s">
        <v>67</v>
      </c>
      <c r="B4" s="33">
        <v>419782.95</v>
      </c>
    </row>
    <row r="5" spans="1:2">
      <c r="A5" s="20" t="s">
        <v>15</v>
      </c>
      <c r="B5" s="33">
        <v>405818.46</v>
      </c>
    </row>
    <row r="6" spans="1:2">
      <c r="A6" s="20" t="s">
        <v>29</v>
      </c>
      <c r="B6" s="33">
        <v>370097.30000000022</v>
      </c>
    </row>
    <row r="7" spans="1:2">
      <c r="A7" s="20" t="s">
        <v>22</v>
      </c>
      <c r="B7" s="33">
        <v>372852.43000000023</v>
      </c>
    </row>
    <row r="8" spans="1:2">
      <c r="A8" s="20" t="s">
        <v>61</v>
      </c>
      <c r="B8" s="33">
        <v>1568551.1400000004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FC8E-B26B-482A-B7FD-6AD630F26008}">
  <dimension ref="A3:C10"/>
  <sheetViews>
    <sheetView workbookViewId="0">
      <selection activeCell="B6" sqref="B6"/>
    </sheetView>
  </sheetViews>
  <sheetFormatPr defaultRowHeight="13.8"/>
  <cols>
    <col min="1" max="1" width="12.5" customWidth="1"/>
    <col min="2" max="2" width="14.796875" customWidth="1"/>
    <col min="3" max="3" width="12" customWidth="1"/>
  </cols>
  <sheetData>
    <row r="3" spans="1:3">
      <c r="A3" s="19" t="s">
        <v>60</v>
      </c>
      <c r="B3" t="s">
        <v>62</v>
      </c>
      <c r="C3" t="s">
        <v>63</v>
      </c>
    </row>
    <row r="4" spans="1:3">
      <c r="A4" s="20" t="s">
        <v>16</v>
      </c>
      <c r="B4" s="33">
        <v>274804.54000000004</v>
      </c>
      <c r="C4" s="33">
        <v>76865.539999999994</v>
      </c>
    </row>
    <row r="5" spans="1:3">
      <c r="A5" s="20" t="s">
        <v>68</v>
      </c>
      <c r="B5" s="33">
        <v>230719.4200000001</v>
      </c>
      <c r="C5" s="33">
        <v>70162.209999999992</v>
      </c>
    </row>
    <row r="6" spans="1:3">
      <c r="A6" s="20" t="s">
        <v>23</v>
      </c>
      <c r="B6" s="33">
        <v>264212.3000000001</v>
      </c>
      <c r="C6" s="33">
        <v>75656.079999999973</v>
      </c>
    </row>
    <row r="7" spans="1:3">
      <c r="A7" s="20" t="s">
        <v>64</v>
      </c>
      <c r="B7" s="33">
        <v>315763.03000000014</v>
      </c>
      <c r="C7" s="33">
        <v>93632.99</v>
      </c>
    </row>
    <row r="8" spans="1:3">
      <c r="A8" s="20" t="s">
        <v>82</v>
      </c>
      <c r="B8" s="33">
        <v>220346.25000000006</v>
      </c>
      <c r="C8" s="33">
        <v>63606.999999999993</v>
      </c>
    </row>
    <row r="9" spans="1:3">
      <c r="A9" s="20" t="s">
        <v>30</v>
      </c>
      <c r="B9" s="33">
        <v>262705.60000000003</v>
      </c>
      <c r="C9" s="33">
        <v>79368.550000000032</v>
      </c>
    </row>
    <row r="10" spans="1:3">
      <c r="A10" s="20" t="s">
        <v>61</v>
      </c>
      <c r="B10" s="33">
        <v>1568551.1400000006</v>
      </c>
      <c r="C10" s="33">
        <v>459292.37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E13F3-80EC-4356-BED0-D0696771C985}">
  <dimension ref="A1:S501"/>
  <sheetViews>
    <sheetView topLeftCell="A2" workbookViewId="0">
      <selection activeCell="E8" sqref="E8"/>
    </sheetView>
  </sheetViews>
  <sheetFormatPr defaultRowHeight="14.4"/>
  <cols>
    <col min="1" max="1" width="10.3984375" customWidth="1"/>
    <col min="2" max="2" width="12.5" customWidth="1"/>
    <col min="4" max="4" width="11.296875" customWidth="1"/>
    <col min="5" max="5" width="10.8984375" customWidth="1"/>
    <col min="6" max="6" width="9.69921875" customWidth="1"/>
    <col min="7" max="7" width="10.3984375" customWidth="1"/>
    <col min="8" max="8" width="9.5" customWidth="1"/>
    <col min="10" max="10" width="11.5" customWidth="1"/>
    <col min="11" max="12" width="10.09765625" customWidth="1"/>
    <col min="19" max="19" width="12.09765625" customWidth="1"/>
  </cols>
  <sheetData>
    <row r="1" spans="1:19" ht="27.6">
      <c r="A1" s="1" t="s">
        <v>0</v>
      </c>
      <c r="B1" s="1" t="s">
        <v>1</v>
      </c>
      <c r="C1" s="1" t="s">
        <v>2</v>
      </c>
      <c r="D1" s="1" t="s">
        <v>3</v>
      </c>
      <c r="E1" s="1" t="s">
        <v>4</v>
      </c>
      <c r="F1" s="1" t="s">
        <v>5</v>
      </c>
      <c r="G1" s="1" t="s">
        <v>6</v>
      </c>
      <c r="H1" s="1" t="s">
        <v>7</v>
      </c>
      <c r="I1" s="4" t="s">
        <v>8</v>
      </c>
      <c r="J1" s="4" t="s">
        <v>9</v>
      </c>
      <c r="K1" s="4" t="s">
        <v>10</v>
      </c>
      <c r="L1" s="4" t="s">
        <v>11</v>
      </c>
      <c r="M1" s="4" t="s">
        <v>12</v>
      </c>
      <c r="N1" s="4" t="s">
        <v>13</v>
      </c>
      <c r="O1" s="4" t="s">
        <v>35</v>
      </c>
      <c r="P1" s="4" t="s">
        <v>48</v>
      </c>
      <c r="Q1" s="4" t="s">
        <v>49</v>
      </c>
      <c r="R1" s="4" t="s">
        <v>50</v>
      </c>
      <c r="S1" s="4" t="s">
        <v>51</v>
      </c>
    </row>
    <row r="2" spans="1:19" ht="27.6">
      <c r="A2" t="s">
        <v>14</v>
      </c>
      <c r="B2" s="21">
        <v>45823</v>
      </c>
      <c r="C2" t="s">
        <v>15</v>
      </c>
      <c r="D2" t="s">
        <v>64</v>
      </c>
      <c r="E2" t="s">
        <v>65</v>
      </c>
      <c r="F2" t="s">
        <v>18</v>
      </c>
      <c r="G2" t="s">
        <v>19</v>
      </c>
      <c r="H2" t="s">
        <v>38</v>
      </c>
      <c r="I2">
        <v>7</v>
      </c>
      <c r="J2">
        <v>964.34</v>
      </c>
      <c r="K2">
        <v>0</v>
      </c>
      <c r="L2">
        <v>6750.38</v>
      </c>
      <c r="M2">
        <v>5269.89</v>
      </c>
      <c r="N2">
        <v>6092.83</v>
      </c>
      <c r="O2" s="3">
        <f>_xlfn.XLOOKUP(SalesData[[#This Row],[Product]],ProductLookup[Product],ProductLookup[Standard_Price],"Not Found")</f>
        <v>950</v>
      </c>
      <c r="P2" s="3">
        <f>SalesData[[#This Row],[Revenue]]-SalesData[[#This Row],[Cost]]</f>
        <v>1480.4899999999998</v>
      </c>
      <c r="Q2" s="5">
        <f>IFERROR(SalesData[[#This Row],[Profit]]/SalesData[[#This Row],[Revenue]],0)</f>
        <v>0.21931950497601613</v>
      </c>
      <c r="R2" s="3">
        <f>SalesData[[#This Row],[Revenue]]-SalesData[[#This Row],[Target]]</f>
        <v>657.55000000000018</v>
      </c>
      <c r="S2" s="3" t="str">
        <f t="shared" ref="S2:S65" si="0">IF(R2&gt;=0,"Above Target","Below Target")</f>
        <v>Above Target</v>
      </c>
    </row>
    <row r="3" spans="1:19" ht="27.6">
      <c r="A3" t="s">
        <v>21</v>
      </c>
      <c r="B3" s="21">
        <v>45702</v>
      </c>
      <c r="C3" t="s">
        <v>15</v>
      </c>
      <c r="D3" t="s">
        <v>23</v>
      </c>
      <c r="E3" t="s">
        <v>66</v>
      </c>
      <c r="F3" t="s">
        <v>18</v>
      </c>
      <c r="G3" t="s">
        <v>33</v>
      </c>
      <c r="H3" t="s">
        <v>34</v>
      </c>
      <c r="I3">
        <v>7</v>
      </c>
      <c r="J3">
        <v>33.49</v>
      </c>
      <c r="K3">
        <v>0</v>
      </c>
      <c r="L3">
        <v>234.43</v>
      </c>
      <c r="M3">
        <v>169.08</v>
      </c>
      <c r="N3">
        <v>209.62</v>
      </c>
      <c r="O3" s="3">
        <f>_xlfn.XLOOKUP(SalesData[[#This Row],[Product]],ProductLookup[Product],ProductLookup[Standard_Price],"Not Found")</f>
        <v>35</v>
      </c>
      <c r="P3" s="3">
        <f>SalesData[[#This Row],[Revenue]]-SalesData[[#This Row],[Cost]]</f>
        <v>65.349999999999994</v>
      </c>
      <c r="Q3" s="5">
        <f>IFERROR(SalesData[[#This Row],[Profit]]/SalesData[[#This Row],[Revenue]],0)</f>
        <v>0.27876125069317065</v>
      </c>
      <c r="R3" s="3">
        <f>SalesData[[#This Row],[Revenue]]-SalesData[[#This Row],[Target]]</f>
        <v>24.810000000000002</v>
      </c>
      <c r="S3" s="3" t="str">
        <f t="shared" si="0"/>
        <v>Above Target</v>
      </c>
    </row>
    <row r="4" spans="1:19" ht="13.8">
      <c r="A4" t="s">
        <v>28</v>
      </c>
      <c r="B4" s="21">
        <v>45953</v>
      </c>
      <c r="C4" t="s">
        <v>67</v>
      </c>
      <c r="D4" t="s">
        <v>68</v>
      </c>
      <c r="E4" t="s">
        <v>69</v>
      </c>
      <c r="F4" t="s">
        <v>18</v>
      </c>
      <c r="G4" t="s">
        <v>33</v>
      </c>
      <c r="H4" t="s">
        <v>43</v>
      </c>
      <c r="I4">
        <v>7</v>
      </c>
      <c r="J4">
        <v>71.62</v>
      </c>
      <c r="K4">
        <v>0.02</v>
      </c>
      <c r="L4">
        <v>491.31</v>
      </c>
      <c r="M4">
        <v>299.82</v>
      </c>
      <c r="N4">
        <v>533.58000000000004</v>
      </c>
      <c r="O4" s="3">
        <f>_xlfn.XLOOKUP(SalesData[[#This Row],[Product]],ProductLookup[Product],ProductLookup[Standard_Price],"Not Found")</f>
        <v>75</v>
      </c>
      <c r="P4" s="3">
        <f>SalesData[[#This Row],[Revenue]]-SalesData[[#This Row],[Cost]]</f>
        <v>191.49</v>
      </c>
      <c r="Q4" s="5">
        <f>IFERROR(SalesData[[#This Row],[Profit]]/SalesData[[#This Row],[Revenue]],0)</f>
        <v>0.38975392318495455</v>
      </c>
      <c r="R4" s="3">
        <f>SalesData[[#This Row],[Revenue]]-SalesData[[#This Row],[Target]]</f>
        <v>-42.270000000000039</v>
      </c>
      <c r="S4" s="3" t="str">
        <f t="shared" si="0"/>
        <v>Below Target</v>
      </c>
    </row>
    <row r="5" spans="1:19" ht="13.8">
      <c r="A5" t="s">
        <v>70</v>
      </c>
      <c r="B5" s="21">
        <v>45950</v>
      </c>
      <c r="C5" t="s">
        <v>29</v>
      </c>
      <c r="D5" t="s">
        <v>30</v>
      </c>
      <c r="E5" t="s">
        <v>71</v>
      </c>
      <c r="F5" t="s">
        <v>18</v>
      </c>
      <c r="G5" t="s">
        <v>26</v>
      </c>
      <c r="H5" t="s">
        <v>27</v>
      </c>
      <c r="I5">
        <v>9</v>
      </c>
      <c r="J5">
        <v>330.12</v>
      </c>
      <c r="K5">
        <v>0.02</v>
      </c>
      <c r="L5">
        <v>2911.66</v>
      </c>
      <c r="M5">
        <v>1813.01</v>
      </c>
      <c r="N5">
        <v>2961.42</v>
      </c>
      <c r="O5" s="3">
        <f>_xlfn.XLOOKUP(SalesData[[#This Row],[Product]],ProductLookup[Product],ProductLookup[Standard_Price],"Not Found")</f>
        <v>320</v>
      </c>
      <c r="P5" s="3">
        <f>SalesData[[#This Row],[Revenue]]-SalesData[[#This Row],[Cost]]</f>
        <v>1098.6499999999999</v>
      </c>
      <c r="Q5" s="5">
        <f>IFERROR(SalesData[[#This Row],[Profit]]/SalesData[[#This Row],[Revenue]],0)</f>
        <v>0.37732770996613613</v>
      </c>
      <c r="R5" s="3">
        <f>SalesData[[#This Row],[Revenue]]-SalesData[[#This Row],[Target]]</f>
        <v>-49.760000000000218</v>
      </c>
      <c r="S5" s="3" t="str">
        <f t="shared" si="0"/>
        <v>Below Target</v>
      </c>
    </row>
    <row r="6" spans="1:19" ht="13.8">
      <c r="A6" t="s">
        <v>72</v>
      </c>
      <c r="B6" s="21">
        <v>45946</v>
      </c>
      <c r="C6" t="s">
        <v>22</v>
      </c>
      <c r="D6" t="s">
        <v>64</v>
      </c>
      <c r="E6" t="s">
        <v>73</v>
      </c>
      <c r="F6" t="s">
        <v>74</v>
      </c>
      <c r="G6" t="s">
        <v>19</v>
      </c>
      <c r="H6" t="s">
        <v>20</v>
      </c>
      <c r="I6">
        <v>10</v>
      </c>
      <c r="J6">
        <v>825.01</v>
      </c>
      <c r="K6">
        <v>0.1</v>
      </c>
      <c r="L6">
        <v>7425.09</v>
      </c>
      <c r="M6">
        <v>5323.63</v>
      </c>
      <c r="N6">
        <v>7919.12</v>
      </c>
      <c r="O6" s="3">
        <f>_xlfn.XLOOKUP(SalesData[[#This Row],[Product]],ProductLookup[Product],ProductLookup[Standard_Price],"Not Found")</f>
        <v>850</v>
      </c>
      <c r="P6" s="3">
        <f>SalesData[[#This Row],[Revenue]]-SalesData[[#This Row],[Cost]]</f>
        <v>2101.46</v>
      </c>
      <c r="Q6" s="5">
        <f>IFERROR(SalesData[[#This Row],[Profit]]/SalesData[[#This Row],[Revenue]],0)</f>
        <v>0.28302148526145809</v>
      </c>
      <c r="R6" s="3">
        <f>SalesData[[#This Row],[Revenue]]-SalesData[[#This Row],[Target]]</f>
        <v>-494.02999999999975</v>
      </c>
      <c r="S6" s="3" t="str">
        <f t="shared" si="0"/>
        <v>Below Target</v>
      </c>
    </row>
    <row r="7" spans="1:19" ht="27.6">
      <c r="A7" t="s">
        <v>75</v>
      </c>
      <c r="B7" s="21">
        <v>45843</v>
      </c>
      <c r="C7" t="s">
        <v>67</v>
      </c>
      <c r="D7" t="s">
        <v>64</v>
      </c>
      <c r="E7" t="s">
        <v>76</v>
      </c>
      <c r="F7" t="s">
        <v>32</v>
      </c>
      <c r="G7" t="s">
        <v>26</v>
      </c>
      <c r="H7" t="s">
        <v>27</v>
      </c>
      <c r="I7">
        <v>4</v>
      </c>
      <c r="J7">
        <v>329.42</v>
      </c>
      <c r="K7">
        <v>0.1</v>
      </c>
      <c r="L7">
        <v>1185.9100000000001</v>
      </c>
      <c r="M7">
        <v>915</v>
      </c>
      <c r="N7">
        <v>1066.9000000000001</v>
      </c>
      <c r="O7" s="3">
        <f>_xlfn.XLOOKUP(SalesData[[#This Row],[Product]],ProductLookup[Product],ProductLookup[Standard_Price],"Not Found")</f>
        <v>320</v>
      </c>
      <c r="P7" s="3">
        <f>SalesData[[#This Row],[Revenue]]-SalesData[[#This Row],[Cost]]</f>
        <v>270.91000000000008</v>
      </c>
      <c r="Q7" s="5">
        <f>IFERROR(SalesData[[#This Row],[Profit]]/SalesData[[#This Row],[Revenue]],0)</f>
        <v>0.22844060679140918</v>
      </c>
      <c r="R7" s="3">
        <f>SalesData[[#This Row],[Revenue]]-SalesData[[#This Row],[Target]]</f>
        <v>119.00999999999999</v>
      </c>
      <c r="S7" s="3" t="str">
        <f t="shared" si="0"/>
        <v>Above Target</v>
      </c>
    </row>
    <row r="8" spans="1:19" ht="27.6">
      <c r="A8" t="s">
        <v>77</v>
      </c>
      <c r="B8" s="21">
        <v>45887</v>
      </c>
      <c r="C8" t="s">
        <v>67</v>
      </c>
      <c r="D8" t="s">
        <v>23</v>
      </c>
      <c r="E8" t="s">
        <v>78</v>
      </c>
      <c r="F8" t="s">
        <v>74</v>
      </c>
      <c r="G8" t="s">
        <v>26</v>
      </c>
      <c r="H8" t="s">
        <v>27</v>
      </c>
      <c r="I8">
        <v>10</v>
      </c>
      <c r="J8">
        <v>335.37</v>
      </c>
      <c r="K8">
        <v>0</v>
      </c>
      <c r="L8">
        <v>3353.7</v>
      </c>
      <c r="M8">
        <v>2389.9299999999998</v>
      </c>
      <c r="N8">
        <v>3084.03</v>
      </c>
      <c r="O8" s="3">
        <f>_xlfn.XLOOKUP(SalesData[[#This Row],[Product]],ProductLookup[Product],ProductLookup[Standard_Price],"Not Found")</f>
        <v>320</v>
      </c>
      <c r="P8" s="3">
        <f>SalesData[[#This Row],[Revenue]]-SalesData[[#This Row],[Cost]]</f>
        <v>963.77</v>
      </c>
      <c r="Q8" s="5">
        <f>IFERROR(SalesData[[#This Row],[Profit]]/SalesData[[#This Row],[Revenue]],0)</f>
        <v>0.28737513790738589</v>
      </c>
      <c r="R8" s="3">
        <f>SalesData[[#This Row],[Revenue]]-SalesData[[#This Row],[Target]]</f>
        <v>269.66999999999962</v>
      </c>
      <c r="S8" s="3" t="str">
        <f t="shared" si="0"/>
        <v>Above Target</v>
      </c>
    </row>
    <row r="9" spans="1:19" ht="13.8">
      <c r="A9" t="s">
        <v>79</v>
      </c>
      <c r="B9" s="21">
        <v>45873</v>
      </c>
      <c r="C9" t="s">
        <v>67</v>
      </c>
      <c r="D9" t="s">
        <v>30</v>
      </c>
      <c r="E9" t="s">
        <v>80</v>
      </c>
      <c r="F9" t="s">
        <v>32</v>
      </c>
      <c r="G9" t="s">
        <v>19</v>
      </c>
      <c r="H9" t="s">
        <v>20</v>
      </c>
      <c r="I9">
        <v>11</v>
      </c>
      <c r="J9">
        <v>814.1</v>
      </c>
      <c r="K9">
        <v>0.08</v>
      </c>
      <c r="L9">
        <v>8238.69</v>
      </c>
      <c r="M9">
        <v>5981.83</v>
      </c>
      <c r="N9">
        <v>8981.1200000000008</v>
      </c>
      <c r="O9" s="3">
        <f>_xlfn.XLOOKUP(SalesData[[#This Row],[Product]],ProductLookup[Product],ProductLookup[Standard_Price],"Not Found")</f>
        <v>850</v>
      </c>
      <c r="P9" s="3">
        <f>SalesData[[#This Row],[Revenue]]-SalesData[[#This Row],[Cost]]</f>
        <v>2256.8600000000006</v>
      </c>
      <c r="Q9" s="5">
        <f>IFERROR(SalesData[[#This Row],[Profit]]/SalesData[[#This Row],[Revenue]],0)</f>
        <v>0.27393432693789915</v>
      </c>
      <c r="R9" s="3">
        <f>SalesData[[#This Row],[Revenue]]-SalesData[[#This Row],[Target]]</f>
        <v>-742.43000000000029</v>
      </c>
      <c r="S9" s="3" t="str">
        <f t="shared" si="0"/>
        <v>Below Target</v>
      </c>
    </row>
    <row r="10" spans="1:19" ht="13.8">
      <c r="A10" t="s">
        <v>81</v>
      </c>
      <c r="B10" s="21">
        <v>45962</v>
      </c>
      <c r="C10" t="s">
        <v>22</v>
      </c>
      <c r="D10" t="s">
        <v>82</v>
      </c>
      <c r="E10" t="s">
        <v>83</v>
      </c>
      <c r="F10" t="s">
        <v>18</v>
      </c>
      <c r="G10" t="s">
        <v>33</v>
      </c>
      <c r="H10" t="s">
        <v>41</v>
      </c>
      <c r="I10">
        <v>10</v>
      </c>
      <c r="J10">
        <v>87.52</v>
      </c>
      <c r="K10">
        <v>0</v>
      </c>
      <c r="L10">
        <v>875.2</v>
      </c>
      <c r="M10">
        <v>686.85</v>
      </c>
      <c r="N10">
        <v>968.6</v>
      </c>
      <c r="O10" s="3">
        <f>_xlfn.XLOOKUP(SalesData[[#This Row],[Product]],ProductLookup[Product],ProductLookup[Standard_Price],"Not Found")</f>
        <v>85</v>
      </c>
      <c r="P10" s="3">
        <f>SalesData[[#This Row],[Revenue]]-SalesData[[#This Row],[Cost]]</f>
        <v>188.35000000000002</v>
      </c>
      <c r="Q10" s="5">
        <f>IFERROR(SalesData[[#This Row],[Profit]]/SalesData[[#This Row],[Revenue]],0)</f>
        <v>0.21520795246800734</v>
      </c>
      <c r="R10" s="3">
        <f>SalesData[[#This Row],[Revenue]]-SalesData[[#This Row],[Target]]</f>
        <v>-93.399999999999977</v>
      </c>
      <c r="S10" s="3" t="str">
        <f t="shared" si="0"/>
        <v>Below Target</v>
      </c>
    </row>
    <row r="11" spans="1:19" ht="13.8">
      <c r="A11" t="s">
        <v>84</v>
      </c>
      <c r="B11" s="21">
        <v>45689</v>
      </c>
      <c r="C11" t="s">
        <v>67</v>
      </c>
      <c r="D11" t="s">
        <v>82</v>
      </c>
      <c r="E11" t="s">
        <v>85</v>
      </c>
      <c r="F11" t="s">
        <v>32</v>
      </c>
      <c r="G11" t="s">
        <v>45</v>
      </c>
      <c r="H11" t="s">
        <v>46</v>
      </c>
      <c r="I11">
        <v>12</v>
      </c>
      <c r="J11">
        <v>333.53</v>
      </c>
      <c r="K11">
        <v>0.08</v>
      </c>
      <c r="L11">
        <v>3682.17</v>
      </c>
      <c r="M11">
        <v>3013.79</v>
      </c>
      <c r="N11">
        <v>3966.66</v>
      </c>
      <c r="O11" s="3">
        <f>_xlfn.XLOOKUP(SalesData[[#This Row],[Product]],ProductLookup[Product],ProductLookup[Standard_Price],"Not Found")</f>
        <v>340</v>
      </c>
      <c r="P11" s="3">
        <f>SalesData[[#This Row],[Revenue]]-SalesData[[#This Row],[Cost]]</f>
        <v>668.38000000000011</v>
      </c>
      <c r="Q11" s="5">
        <f>IFERROR(SalesData[[#This Row],[Profit]]/SalesData[[#This Row],[Revenue]],0)</f>
        <v>0.18151796359212097</v>
      </c>
      <c r="R11" s="3">
        <f>SalesData[[#This Row],[Revenue]]-SalesData[[#This Row],[Target]]</f>
        <v>-284.48999999999978</v>
      </c>
      <c r="S11" s="3" t="str">
        <f t="shared" si="0"/>
        <v>Below Target</v>
      </c>
    </row>
    <row r="12" spans="1:19" ht="27.6">
      <c r="A12" t="s">
        <v>86</v>
      </c>
      <c r="B12" s="21">
        <v>45669</v>
      </c>
      <c r="C12" t="s">
        <v>67</v>
      </c>
      <c r="D12" t="s">
        <v>23</v>
      </c>
      <c r="E12" t="s">
        <v>87</v>
      </c>
      <c r="F12" t="s">
        <v>25</v>
      </c>
      <c r="G12" t="s">
        <v>33</v>
      </c>
      <c r="H12" t="s">
        <v>41</v>
      </c>
      <c r="I12">
        <v>6</v>
      </c>
      <c r="J12">
        <v>82.18</v>
      </c>
      <c r="K12">
        <v>0</v>
      </c>
      <c r="L12">
        <v>493.08</v>
      </c>
      <c r="M12">
        <v>349.4</v>
      </c>
      <c r="N12">
        <v>459.73</v>
      </c>
      <c r="O12" s="3">
        <f>_xlfn.XLOOKUP(SalesData[[#This Row],[Product]],ProductLookup[Product],ProductLookup[Standard_Price],"Not Found")</f>
        <v>85</v>
      </c>
      <c r="P12" s="3">
        <f>SalesData[[#This Row],[Revenue]]-SalesData[[#This Row],[Cost]]</f>
        <v>143.68</v>
      </c>
      <c r="Q12" s="5">
        <f>IFERROR(SalesData[[#This Row],[Profit]]/SalesData[[#This Row],[Revenue]],0)</f>
        <v>0.29139287742354186</v>
      </c>
      <c r="R12" s="3">
        <f>SalesData[[#This Row],[Revenue]]-SalesData[[#This Row],[Target]]</f>
        <v>33.349999999999966</v>
      </c>
      <c r="S12" s="3" t="str">
        <f t="shared" si="0"/>
        <v>Above Target</v>
      </c>
    </row>
    <row r="13" spans="1:19" ht="27.6">
      <c r="A13" t="s">
        <v>88</v>
      </c>
      <c r="B13" s="21">
        <v>45861</v>
      </c>
      <c r="C13" t="s">
        <v>67</v>
      </c>
      <c r="D13" t="s">
        <v>23</v>
      </c>
      <c r="E13" t="s">
        <v>89</v>
      </c>
      <c r="F13" t="s">
        <v>74</v>
      </c>
      <c r="G13" t="s">
        <v>33</v>
      </c>
      <c r="H13" t="s">
        <v>34</v>
      </c>
      <c r="I13">
        <v>15</v>
      </c>
      <c r="J13">
        <v>36.299999999999997</v>
      </c>
      <c r="K13">
        <v>0</v>
      </c>
      <c r="L13">
        <v>544.5</v>
      </c>
      <c r="M13">
        <v>346.63</v>
      </c>
      <c r="N13">
        <v>531.65</v>
      </c>
      <c r="O13" s="3">
        <f>_xlfn.XLOOKUP(SalesData[[#This Row],[Product]],ProductLookup[Product],ProductLookup[Standard_Price],"Not Found")</f>
        <v>35</v>
      </c>
      <c r="P13" s="3">
        <f>SalesData[[#This Row],[Revenue]]-SalesData[[#This Row],[Cost]]</f>
        <v>197.87</v>
      </c>
      <c r="Q13" s="5">
        <f>IFERROR(SalesData[[#This Row],[Profit]]/SalesData[[#This Row],[Revenue]],0)</f>
        <v>0.36339761248852159</v>
      </c>
      <c r="R13" s="3">
        <f>SalesData[[#This Row],[Revenue]]-SalesData[[#This Row],[Target]]</f>
        <v>12.850000000000023</v>
      </c>
      <c r="S13" s="3" t="str">
        <f t="shared" si="0"/>
        <v>Above Target</v>
      </c>
    </row>
    <row r="14" spans="1:19" ht="27.6">
      <c r="A14" t="s">
        <v>90</v>
      </c>
      <c r="B14" s="21">
        <v>45939</v>
      </c>
      <c r="C14" t="s">
        <v>29</v>
      </c>
      <c r="D14" t="s">
        <v>23</v>
      </c>
      <c r="E14" t="s">
        <v>91</v>
      </c>
      <c r="F14" t="s">
        <v>25</v>
      </c>
      <c r="G14" t="s">
        <v>26</v>
      </c>
      <c r="H14" t="s">
        <v>27</v>
      </c>
      <c r="I14">
        <v>12</v>
      </c>
      <c r="J14">
        <v>317.29000000000002</v>
      </c>
      <c r="K14">
        <v>0.03</v>
      </c>
      <c r="L14">
        <v>3693.26</v>
      </c>
      <c r="M14">
        <v>2770.68</v>
      </c>
      <c r="N14">
        <v>3587.29</v>
      </c>
      <c r="O14" s="3">
        <f>_xlfn.XLOOKUP(SalesData[[#This Row],[Product]],ProductLookup[Product],ProductLookup[Standard_Price],"Not Found")</f>
        <v>320</v>
      </c>
      <c r="P14" s="3">
        <f>SalesData[[#This Row],[Revenue]]-SalesData[[#This Row],[Cost]]</f>
        <v>922.58000000000038</v>
      </c>
      <c r="Q14" s="5">
        <f>IFERROR(SalesData[[#This Row],[Profit]]/SalesData[[#This Row],[Revenue]],0)</f>
        <v>0.24980098882829813</v>
      </c>
      <c r="R14" s="3">
        <f>SalesData[[#This Row],[Revenue]]-SalesData[[#This Row],[Target]]</f>
        <v>105.97000000000025</v>
      </c>
      <c r="S14" s="3" t="str">
        <f t="shared" si="0"/>
        <v>Above Target</v>
      </c>
    </row>
    <row r="15" spans="1:19" ht="27.6">
      <c r="A15" t="s">
        <v>92</v>
      </c>
      <c r="B15" s="21">
        <v>45735</v>
      </c>
      <c r="C15" t="s">
        <v>67</v>
      </c>
      <c r="D15" t="s">
        <v>16</v>
      </c>
      <c r="E15" t="s">
        <v>69</v>
      </c>
      <c r="F15" t="s">
        <v>74</v>
      </c>
      <c r="G15" t="s">
        <v>26</v>
      </c>
      <c r="H15" t="s">
        <v>39</v>
      </c>
      <c r="I15">
        <v>11</v>
      </c>
      <c r="J15">
        <v>214.13</v>
      </c>
      <c r="K15">
        <v>0.05</v>
      </c>
      <c r="L15">
        <v>2237.66</v>
      </c>
      <c r="M15">
        <v>1751.73</v>
      </c>
      <c r="N15">
        <v>2067.0700000000002</v>
      </c>
      <c r="O15" s="3">
        <f>_xlfn.XLOOKUP(SalesData[[#This Row],[Product]],ProductLookup[Product],ProductLookup[Standard_Price],"Not Found")</f>
        <v>220</v>
      </c>
      <c r="P15" s="3">
        <f>SalesData[[#This Row],[Revenue]]-SalesData[[#This Row],[Cost]]</f>
        <v>485.92999999999984</v>
      </c>
      <c r="Q15" s="5">
        <f>IFERROR(SalesData[[#This Row],[Profit]]/SalesData[[#This Row],[Revenue]],0)</f>
        <v>0.21715989024248539</v>
      </c>
      <c r="R15" s="3">
        <f>SalesData[[#This Row],[Revenue]]-SalesData[[#This Row],[Target]]</f>
        <v>170.58999999999969</v>
      </c>
      <c r="S15" s="3" t="str">
        <f t="shared" si="0"/>
        <v>Above Target</v>
      </c>
    </row>
    <row r="16" spans="1:19" ht="13.8">
      <c r="A16" t="s">
        <v>93</v>
      </c>
      <c r="B16" s="21">
        <v>45931</v>
      </c>
      <c r="C16" t="s">
        <v>15</v>
      </c>
      <c r="D16" t="s">
        <v>68</v>
      </c>
      <c r="E16" t="s">
        <v>94</v>
      </c>
      <c r="F16" t="s">
        <v>74</v>
      </c>
      <c r="G16" t="s">
        <v>26</v>
      </c>
      <c r="H16" t="s">
        <v>40</v>
      </c>
      <c r="I16">
        <v>10</v>
      </c>
      <c r="J16">
        <v>452.99</v>
      </c>
      <c r="K16">
        <v>0.02</v>
      </c>
      <c r="L16">
        <v>4439.3</v>
      </c>
      <c r="M16">
        <v>3337.95</v>
      </c>
      <c r="N16">
        <v>4455.8100000000004</v>
      </c>
      <c r="O16" s="3">
        <f>_xlfn.XLOOKUP(SalesData[[#This Row],[Product]],ProductLookup[Product],ProductLookup[Standard_Price],"Not Found")</f>
        <v>450</v>
      </c>
      <c r="P16" s="3">
        <f>SalesData[[#This Row],[Revenue]]-SalesData[[#This Row],[Cost]]</f>
        <v>1101.3500000000004</v>
      </c>
      <c r="Q16" s="5">
        <f>IFERROR(SalesData[[#This Row],[Profit]]/SalesData[[#This Row],[Revenue]],0)</f>
        <v>0.24809091523438387</v>
      </c>
      <c r="R16" s="3">
        <f>SalesData[[#This Row],[Revenue]]-SalesData[[#This Row],[Target]]</f>
        <v>-16.510000000000218</v>
      </c>
      <c r="S16" s="3" t="str">
        <f t="shared" si="0"/>
        <v>Below Target</v>
      </c>
    </row>
    <row r="17" spans="1:19" ht="27.6">
      <c r="A17" t="s">
        <v>95</v>
      </c>
      <c r="B17" s="21">
        <v>45861</v>
      </c>
      <c r="C17" t="s">
        <v>29</v>
      </c>
      <c r="D17" t="s">
        <v>68</v>
      </c>
      <c r="E17" t="s">
        <v>96</v>
      </c>
      <c r="F17" t="s">
        <v>18</v>
      </c>
      <c r="G17" t="s">
        <v>33</v>
      </c>
      <c r="H17" t="s">
        <v>34</v>
      </c>
      <c r="I17">
        <v>7</v>
      </c>
      <c r="J17">
        <v>33.61</v>
      </c>
      <c r="K17">
        <v>0.1</v>
      </c>
      <c r="L17">
        <v>211.74</v>
      </c>
      <c r="M17">
        <v>145.69999999999999</v>
      </c>
      <c r="N17">
        <v>196.02</v>
      </c>
      <c r="O17" s="3">
        <f>_xlfn.XLOOKUP(SalesData[[#This Row],[Product]],ProductLookup[Product],ProductLookup[Standard_Price],"Not Found")</f>
        <v>35</v>
      </c>
      <c r="P17" s="3">
        <f>SalesData[[#This Row],[Revenue]]-SalesData[[#This Row],[Cost]]</f>
        <v>66.04000000000002</v>
      </c>
      <c r="Q17" s="5">
        <f>IFERROR(SalesData[[#This Row],[Profit]]/SalesData[[#This Row],[Revenue]],0)</f>
        <v>0.31189194294889966</v>
      </c>
      <c r="R17" s="3">
        <f>SalesData[[#This Row],[Revenue]]-SalesData[[#This Row],[Target]]</f>
        <v>15.719999999999999</v>
      </c>
      <c r="S17" s="3" t="str">
        <f t="shared" si="0"/>
        <v>Above Target</v>
      </c>
    </row>
    <row r="18" spans="1:19" ht="27.6">
      <c r="A18" t="s">
        <v>97</v>
      </c>
      <c r="B18" s="21">
        <v>45832</v>
      </c>
      <c r="C18" t="s">
        <v>67</v>
      </c>
      <c r="D18" t="s">
        <v>64</v>
      </c>
      <c r="E18" t="s">
        <v>98</v>
      </c>
      <c r="F18" t="s">
        <v>18</v>
      </c>
      <c r="G18" t="s">
        <v>33</v>
      </c>
      <c r="H18" t="s">
        <v>43</v>
      </c>
      <c r="I18">
        <v>1</v>
      </c>
      <c r="J18">
        <v>72.02</v>
      </c>
      <c r="K18">
        <v>0.08</v>
      </c>
      <c r="L18">
        <v>66.260000000000005</v>
      </c>
      <c r="M18">
        <v>41.96</v>
      </c>
      <c r="N18">
        <v>59.92</v>
      </c>
      <c r="O18" s="3">
        <f>_xlfn.XLOOKUP(SalesData[[#This Row],[Product]],ProductLookup[Product],ProductLookup[Standard_Price],"Not Found")</f>
        <v>75</v>
      </c>
      <c r="P18" s="3">
        <f>SalesData[[#This Row],[Revenue]]-SalesData[[#This Row],[Cost]]</f>
        <v>24.300000000000004</v>
      </c>
      <c r="Q18" s="5">
        <f>IFERROR(SalesData[[#This Row],[Profit]]/SalesData[[#This Row],[Revenue]],0)</f>
        <v>0.3667370962873529</v>
      </c>
      <c r="R18" s="3">
        <f>SalesData[[#This Row],[Revenue]]-SalesData[[#This Row],[Target]]</f>
        <v>6.3400000000000034</v>
      </c>
      <c r="S18" s="3" t="str">
        <f t="shared" si="0"/>
        <v>Above Target</v>
      </c>
    </row>
    <row r="19" spans="1:19" ht="13.8">
      <c r="A19" t="s">
        <v>99</v>
      </c>
      <c r="B19" s="21">
        <v>45764</v>
      </c>
      <c r="C19" t="s">
        <v>22</v>
      </c>
      <c r="D19" t="s">
        <v>16</v>
      </c>
      <c r="E19" t="s">
        <v>100</v>
      </c>
      <c r="F19" t="s">
        <v>74</v>
      </c>
      <c r="G19" t="s">
        <v>33</v>
      </c>
      <c r="H19" t="s">
        <v>43</v>
      </c>
      <c r="I19">
        <v>7</v>
      </c>
      <c r="J19">
        <v>72.36</v>
      </c>
      <c r="K19">
        <v>0.03</v>
      </c>
      <c r="L19">
        <v>491.32</v>
      </c>
      <c r="M19">
        <v>398.07</v>
      </c>
      <c r="N19">
        <v>503.38</v>
      </c>
      <c r="O19" s="3">
        <f>_xlfn.XLOOKUP(SalesData[[#This Row],[Product]],ProductLookup[Product],ProductLookup[Standard_Price],"Not Found")</f>
        <v>75</v>
      </c>
      <c r="P19" s="3">
        <f>SalesData[[#This Row],[Revenue]]-SalesData[[#This Row],[Cost]]</f>
        <v>93.25</v>
      </c>
      <c r="Q19" s="5">
        <f>IFERROR(SalesData[[#This Row],[Profit]]/SalesData[[#This Row],[Revenue]],0)</f>
        <v>0.18979483839452901</v>
      </c>
      <c r="R19" s="3">
        <f>SalesData[[#This Row],[Revenue]]-SalesData[[#This Row],[Target]]</f>
        <v>-12.060000000000002</v>
      </c>
      <c r="S19" s="3" t="str">
        <f t="shared" si="0"/>
        <v>Below Target</v>
      </c>
    </row>
    <row r="20" spans="1:19" ht="27.6">
      <c r="A20" t="s">
        <v>101</v>
      </c>
      <c r="B20" s="21">
        <v>45896</v>
      </c>
      <c r="C20" t="s">
        <v>67</v>
      </c>
      <c r="D20" t="s">
        <v>68</v>
      </c>
      <c r="E20" t="s">
        <v>102</v>
      </c>
      <c r="F20" t="s">
        <v>25</v>
      </c>
      <c r="G20" t="s">
        <v>33</v>
      </c>
      <c r="H20" t="s">
        <v>41</v>
      </c>
      <c r="I20">
        <v>8</v>
      </c>
      <c r="J20">
        <v>83.4</v>
      </c>
      <c r="K20">
        <v>0.02</v>
      </c>
      <c r="L20">
        <v>653.86</v>
      </c>
      <c r="M20">
        <v>407.02</v>
      </c>
      <c r="N20">
        <v>629.16999999999996</v>
      </c>
      <c r="O20" s="3">
        <f>_xlfn.XLOOKUP(SalesData[[#This Row],[Product]],ProductLookup[Product],ProductLookup[Standard_Price],"Not Found")</f>
        <v>85</v>
      </c>
      <c r="P20" s="3">
        <f>SalesData[[#This Row],[Revenue]]-SalesData[[#This Row],[Cost]]</f>
        <v>246.84000000000003</v>
      </c>
      <c r="Q20" s="5">
        <f>IFERROR(SalesData[[#This Row],[Profit]]/SalesData[[#This Row],[Revenue]],0)</f>
        <v>0.37751200562811615</v>
      </c>
      <c r="R20" s="3">
        <f>SalesData[[#This Row],[Revenue]]-SalesData[[#This Row],[Target]]</f>
        <v>24.690000000000055</v>
      </c>
      <c r="S20" s="3" t="str">
        <f t="shared" si="0"/>
        <v>Above Target</v>
      </c>
    </row>
    <row r="21" spans="1:19" ht="13.8">
      <c r="A21" t="s">
        <v>103</v>
      </c>
      <c r="B21" s="21">
        <v>45922</v>
      </c>
      <c r="C21" t="s">
        <v>15</v>
      </c>
      <c r="D21" t="s">
        <v>64</v>
      </c>
      <c r="E21" t="s">
        <v>104</v>
      </c>
      <c r="F21" t="s">
        <v>18</v>
      </c>
      <c r="G21" t="s">
        <v>19</v>
      </c>
      <c r="H21" t="s">
        <v>20</v>
      </c>
      <c r="I21">
        <v>4</v>
      </c>
      <c r="J21">
        <v>888.33</v>
      </c>
      <c r="K21">
        <v>0.08</v>
      </c>
      <c r="L21">
        <v>3269.05</v>
      </c>
      <c r="M21">
        <v>2221.6</v>
      </c>
      <c r="N21">
        <v>3418.17</v>
      </c>
      <c r="O21" s="3">
        <f>_xlfn.XLOOKUP(SalesData[[#This Row],[Product]],ProductLookup[Product],ProductLookup[Standard_Price],"Not Found")</f>
        <v>850</v>
      </c>
      <c r="P21" s="3">
        <f>SalesData[[#This Row],[Revenue]]-SalesData[[#This Row],[Cost]]</f>
        <v>1047.4500000000003</v>
      </c>
      <c r="Q21" s="5">
        <f>IFERROR(SalesData[[#This Row],[Profit]]/SalesData[[#This Row],[Revenue]],0)</f>
        <v>0.32041418760802076</v>
      </c>
      <c r="R21" s="3">
        <f>SalesData[[#This Row],[Revenue]]-SalesData[[#This Row],[Target]]</f>
        <v>-149.11999999999989</v>
      </c>
      <c r="S21" s="3" t="str">
        <f t="shared" si="0"/>
        <v>Below Target</v>
      </c>
    </row>
    <row r="22" spans="1:19" ht="27.6">
      <c r="A22" t="s">
        <v>105</v>
      </c>
      <c r="B22" s="21">
        <v>46014</v>
      </c>
      <c r="C22" t="s">
        <v>67</v>
      </c>
      <c r="D22" t="s">
        <v>82</v>
      </c>
      <c r="E22" t="s">
        <v>106</v>
      </c>
      <c r="F22" t="s">
        <v>25</v>
      </c>
      <c r="G22" t="s">
        <v>26</v>
      </c>
      <c r="H22" t="s">
        <v>27</v>
      </c>
      <c r="I22">
        <v>9</v>
      </c>
      <c r="J22">
        <v>315.73</v>
      </c>
      <c r="K22">
        <v>0.02</v>
      </c>
      <c r="L22">
        <v>2784.74</v>
      </c>
      <c r="M22">
        <v>1888.76</v>
      </c>
      <c r="N22">
        <v>2599.4699999999998</v>
      </c>
      <c r="O22" s="3">
        <f>_xlfn.XLOOKUP(SalesData[[#This Row],[Product]],ProductLookup[Product],ProductLookup[Standard_Price],"Not Found")</f>
        <v>320</v>
      </c>
      <c r="P22" s="3">
        <f>SalesData[[#This Row],[Revenue]]-SalesData[[#This Row],[Cost]]</f>
        <v>895.97999999999979</v>
      </c>
      <c r="Q22" s="5">
        <f>IFERROR(SalesData[[#This Row],[Profit]]/SalesData[[#This Row],[Revenue]],0)</f>
        <v>0.32174637488598573</v>
      </c>
      <c r="R22" s="3">
        <f>SalesData[[#This Row],[Revenue]]-SalesData[[#This Row],[Target]]</f>
        <v>185.26999999999998</v>
      </c>
      <c r="S22" s="3" t="str">
        <f t="shared" si="0"/>
        <v>Above Target</v>
      </c>
    </row>
    <row r="23" spans="1:19" ht="27.6">
      <c r="A23" t="s">
        <v>107</v>
      </c>
      <c r="B23" s="21">
        <v>45780</v>
      </c>
      <c r="C23" t="s">
        <v>15</v>
      </c>
      <c r="D23" t="s">
        <v>16</v>
      </c>
      <c r="E23" t="s">
        <v>108</v>
      </c>
      <c r="F23" t="s">
        <v>32</v>
      </c>
      <c r="G23" t="s">
        <v>33</v>
      </c>
      <c r="H23" t="s">
        <v>34</v>
      </c>
      <c r="I23">
        <v>12</v>
      </c>
      <c r="J23">
        <v>36.06</v>
      </c>
      <c r="K23">
        <v>0.02</v>
      </c>
      <c r="L23">
        <v>424.07</v>
      </c>
      <c r="M23">
        <v>302.74</v>
      </c>
      <c r="N23">
        <v>409.37</v>
      </c>
      <c r="O23" s="3">
        <f>_xlfn.XLOOKUP(SalesData[[#This Row],[Product]],ProductLookup[Product],ProductLookup[Standard_Price],"Not Found")</f>
        <v>35</v>
      </c>
      <c r="P23" s="3">
        <f>SalesData[[#This Row],[Revenue]]-SalesData[[#This Row],[Cost]]</f>
        <v>121.32999999999998</v>
      </c>
      <c r="Q23" s="5">
        <f>IFERROR(SalesData[[#This Row],[Profit]]/SalesData[[#This Row],[Revenue]],0)</f>
        <v>0.28610842549579074</v>
      </c>
      <c r="R23" s="3">
        <f>SalesData[[#This Row],[Revenue]]-SalesData[[#This Row],[Target]]</f>
        <v>14.699999999999989</v>
      </c>
      <c r="S23" s="3" t="str">
        <f t="shared" si="0"/>
        <v>Above Target</v>
      </c>
    </row>
    <row r="24" spans="1:19" ht="13.8">
      <c r="A24" t="s">
        <v>109</v>
      </c>
      <c r="B24" s="21">
        <v>45899</v>
      </c>
      <c r="C24" t="s">
        <v>67</v>
      </c>
      <c r="D24" t="s">
        <v>30</v>
      </c>
      <c r="E24" t="s">
        <v>91</v>
      </c>
      <c r="F24" t="s">
        <v>25</v>
      </c>
      <c r="G24" t="s">
        <v>26</v>
      </c>
      <c r="H24" t="s">
        <v>27</v>
      </c>
      <c r="I24">
        <v>4</v>
      </c>
      <c r="J24">
        <v>326.16000000000003</v>
      </c>
      <c r="K24">
        <v>0.03</v>
      </c>
      <c r="L24">
        <v>1265.5</v>
      </c>
      <c r="M24">
        <v>883.81</v>
      </c>
      <c r="N24">
        <v>1398.23</v>
      </c>
      <c r="O24" s="3">
        <f>_xlfn.XLOOKUP(SalesData[[#This Row],[Product]],ProductLookup[Product],ProductLookup[Standard_Price],"Not Found")</f>
        <v>320</v>
      </c>
      <c r="P24" s="3">
        <f>SalesData[[#This Row],[Revenue]]-SalesData[[#This Row],[Cost]]</f>
        <v>381.69000000000005</v>
      </c>
      <c r="Q24" s="5">
        <f>IFERROR(SalesData[[#This Row],[Profit]]/SalesData[[#This Row],[Revenue]],0)</f>
        <v>0.30161201106282104</v>
      </c>
      <c r="R24" s="3">
        <f>SalesData[[#This Row],[Revenue]]-SalesData[[#This Row],[Target]]</f>
        <v>-132.73000000000002</v>
      </c>
      <c r="S24" s="3" t="str">
        <f t="shared" si="0"/>
        <v>Below Target</v>
      </c>
    </row>
    <row r="25" spans="1:19" ht="13.8">
      <c r="A25" t="s">
        <v>110</v>
      </c>
      <c r="B25" s="21">
        <v>45710</v>
      </c>
      <c r="C25" t="s">
        <v>15</v>
      </c>
      <c r="D25" t="s">
        <v>68</v>
      </c>
      <c r="E25" t="s">
        <v>111</v>
      </c>
      <c r="F25" t="s">
        <v>32</v>
      </c>
      <c r="G25" t="s">
        <v>26</v>
      </c>
      <c r="H25" t="s">
        <v>39</v>
      </c>
      <c r="I25">
        <v>8</v>
      </c>
      <c r="J25">
        <v>213.33</v>
      </c>
      <c r="K25">
        <v>0.02</v>
      </c>
      <c r="L25">
        <v>1672.51</v>
      </c>
      <c r="M25">
        <v>1181.0999999999999</v>
      </c>
      <c r="N25">
        <v>1867.29</v>
      </c>
      <c r="O25" s="3">
        <f>_xlfn.XLOOKUP(SalesData[[#This Row],[Product]],ProductLookup[Product],ProductLookup[Standard_Price],"Not Found")</f>
        <v>220</v>
      </c>
      <c r="P25" s="3">
        <f>SalesData[[#This Row],[Revenue]]-SalesData[[#This Row],[Cost]]</f>
        <v>491.41000000000008</v>
      </c>
      <c r="Q25" s="5">
        <f>IFERROR(SalesData[[#This Row],[Profit]]/SalesData[[#This Row],[Revenue]],0)</f>
        <v>0.29381588151939309</v>
      </c>
      <c r="R25" s="3">
        <f>SalesData[[#This Row],[Revenue]]-SalesData[[#This Row],[Target]]</f>
        <v>-194.77999999999997</v>
      </c>
      <c r="S25" s="3" t="str">
        <f t="shared" si="0"/>
        <v>Below Target</v>
      </c>
    </row>
    <row r="26" spans="1:19" ht="13.8">
      <c r="A26" t="s">
        <v>112</v>
      </c>
      <c r="B26" s="21">
        <v>45987</v>
      </c>
      <c r="C26" t="s">
        <v>22</v>
      </c>
      <c r="D26" t="s">
        <v>23</v>
      </c>
      <c r="E26" t="s">
        <v>113</v>
      </c>
      <c r="F26" t="s">
        <v>32</v>
      </c>
      <c r="G26" t="s">
        <v>19</v>
      </c>
      <c r="H26" t="s">
        <v>37</v>
      </c>
      <c r="I26">
        <v>14</v>
      </c>
      <c r="J26">
        <v>1117.6600000000001</v>
      </c>
      <c r="K26">
        <v>0.05</v>
      </c>
      <c r="L26">
        <v>14864.88</v>
      </c>
      <c r="M26">
        <v>11477.27</v>
      </c>
      <c r="N26">
        <v>15757.27</v>
      </c>
      <c r="O26" s="3">
        <f>_xlfn.XLOOKUP(SalesData[[#This Row],[Product]],ProductLookup[Product],ProductLookup[Standard_Price],"Not Found")</f>
        <v>1100</v>
      </c>
      <c r="P26" s="3">
        <f>SalesData[[#This Row],[Revenue]]-SalesData[[#This Row],[Cost]]</f>
        <v>3387.6099999999988</v>
      </c>
      <c r="Q26" s="5">
        <f>IFERROR(SalesData[[#This Row],[Profit]]/SalesData[[#This Row],[Revenue]],0)</f>
        <v>0.22789353159931322</v>
      </c>
      <c r="R26" s="3">
        <f>SalesData[[#This Row],[Revenue]]-SalesData[[#This Row],[Target]]</f>
        <v>-892.39000000000124</v>
      </c>
      <c r="S26" s="3" t="str">
        <f t="shared" si="0"/>
        <v>Below Target</v>
      </c>
    </row>
    <row r="27" spans="1:19" ht="27.6">
      <c r="A27" t="s">
        <v>114</v>
      </c>
      <c r="B27" s="21">
        <v>45702</v>
      </c>
      <c r="C27" t="s">
        <v>29</v>
      </c>
      <c r="D27" t="s">
        <v>23</v>
      </c>
      <c r="E27" t="s">
        <v>115</v>
      </c>
      <c r="F27" t="s">
        <v>18</v>
      </c>
      <c r="G27" t="s">
        <v>45</v>
      </c>
      <c r="H27" t="s">
        <v>47</v>
      </c>
      <c r="I27">
        <v>12</v>
      </c>
      <c r="J27">
        <v>415.63</v>
      </c>
      <c r="K27">
        <v>0.05</v>
      </c>
      <c r="L27">
        <v>4738.18</v>
      </c>
      <c r="M27">
        <v>3617.78</v>
      </c>
      <c r="N27">
        <v>4266.17</v>
      </c>
      <c r="O27" s="3">
        <f>_xlfn.XLOOKUP(SalesData[[#This Row],[Product]],ProductLookup[Product],ProductLookup[Standard_Price],"Not Found")</f>
        <v>420</v>
      </c>
      <c r="P27" s="3">
        <f>SalesData[[#This Row],[Revenue]]-SalesData[[#This Row],[Cost]]</f>
        <v>1120.4000000000001</v>
      </c>
      <c r="Q27" s="5">
        <f>IFERROR(SalesData[[#This Row],[Profit]]/SalesData[[#This Row],[Revenue]],0)</f>
        <v>0.23646210148200364</v>
      </c>
      <c r="R27" s="3">
        <f>SalesData[[#This Row],[Revenue]]-SalesData[[#This Row],[Target]]</f>
        <v>472.01000000000022</v>
      </c>
      <c r="S27" s="3" t="str">
        <f t="shared" si="0"/>
        <v>Above Target</v>
      </c>
    </row>
    <row r="28" spans="1:19" ht="13.8">
      <c r="A28" t="s">
        <v>116</v>
      </c>
      <c r="B28" s="21">
        <v>45735</v>
      </c>
      <c r="C28" t="s">
        <v>22</v>
      </c>
      <c r="D28" t="s">
        <v>82</v>
      </c>
      <c r="E28" t="s">
        <v>78</v>
      </c>
      <c r="F28" t="s">
        <v>32</v>
      </c>
      <c r="G28" t="s">
        <v>33</v>
      </c>
      <c r="H28" t="s">
        <v>43</v>
      </c>
      <c r="I28">
        <v>15</v>
      </c>
      <c r="J28">
        <v>74.739999999999995</v>
      </c>
      <c r="K28">
        <v>0.1</v>
      </c>
      <c r="L28">
        <v>1008.99</v>
      </c>
      <c r="M28">
        <v>637.84</v>
      </c>
      <c r="N28">
        <v>1088.06</v>
      </c>
      <c r="O28" s="3">
        <f>_xlfn.XLOOKUP(SalesData[[#This Row],[Product]],ProductLookup[Product],ProductLookup[Standard_Price],"Not Found")</f>
        <v>75</v>
      </c>
      <c r="P28" s="3">
        <f>SalesData[[#This Row],[Revenue]]-SalesData[[#This Row],[Cost]]</f>
        <v>371.15</v>
      </c>
      <c r="Q28" s="5">
        <f>IFERROR(SalesData[[#This Row],[Profit]]/SalesData[[#This Row],[Revenue]],0)</f>
        <v>0.3678430906153678</v>
      </c>
      <c r="R28" s="3">
        <f>SalesData[[#This Row],[Revenue]]-SalesData[[#This Row],[Target]]</f>
        <v>-79.069999999999936</v>
      </c>
      <c r="S28" s="3" t="str">
        <f t="shared" si="0"/>
        <v>Below Target</v>
      </c>
    </row>
    <row r="29" spans="1:19" ht="13.8">
      <c r="A29" t="s">
        <v>117</v>
      </c>
      <c r="B29" s="21">
        <v>45737</v>
      </c>
      <c r="C29" t="s">
        <v>15</v>
      </c>
      <c r="D29" t="s">
        <v>64</v>
      </c>
      <c r="E29" t="s">
        <v>118</v>
      </c>
      <c r="F29" t="s">
        <v>25</v>
      </c>
      <c r="G29" t="s">
        <v>33</v>
      </c>
      <c r="H29" t="s">
        <v>42</v>
      </c>
      <c r="I29">
        <v>9</v>
      </c>
      <c r="J29">
        <v>57.79</v>
      </c>
      <c r="K29">
        <v>0</v>
      </c>
      <c r="L29">
        <v>520.11</v>
      </c>
      <c r="M29">
        <v>403.53</v>
      </c>
      <c r="N29">
        <v>548.37</v>
      </c>
      <c r="O29" s="3">
        <f>_xlfn.XLOOKUP(SalesData[[#This Row],[Product]],ProductLookup[Product],ProductLookup[Standard_Price],"Not Found")</f>
        <v>60</v>
      </c>
      <c r="P29" s="3">
        <f>SalesData[[#This Row],[Revenue]]-SalesData[[#This Row],[Cost]]</f>
        <v>116.58000000000004</v>
      </c>
      <c r="Q29" s="5">
        <f>IFERROR(SalesData[[#This Row],[Profit]]/SalesData[[#This Row],[Revenue]],0)</f>
        <v>0.22414489242660213</v>
      </c>
      <c r="R29" s="3">
        <f>SalesData[[#This Row],[Revenue]]-SalesData[[#This Row],[Target]]</f>
        <v>-28.259999999999991</v>
      </c>
      <c r="S29" s="3" t="str">
        <f t="shared" si="0"/>
        <v>Below Target</v>
      </c>
    </row>
    <row r="30" spans="1:19" ht="27.6">
      <c r="A30" t="s">
        <v>119</v>
      </c>
      <c r="B30" s="21">
        <v>45880</v>
      </c>
      <c r="C30" t="s">
        <v>29</v>
      </c>
      <c r="D30" t="s">
        <v>64</v>
      </c>
      <c r="E30" t="s">
        <v>120</v>
      </c>
      <c r="F30" t="s">
        <v>32</v>
      </c>
      <c r="G30" t="s">
        <v>26</v>
      </c>
      <c r="H30" t="s">
        <v>39</v>
      </c>
      <c r="I30">
        <v>14</v>
      </c>
      <c r="J30">
        <v>228.23</v>
      </c>
      <c r="K30">
        <v>0</v>
      </c>
      <c r="L30">
        <v>3195.22</v>
      </c>
      <c r="M30">
        <v>2094.16</v>
      </c>
      <c r="N30">
        <v>3036.46</v>
      </c>
      <c r="O30" s="3">
        <f>_xlfn.XLOOKUP(SalesData[[#This Row],[Product]],ProductLookup[Product],ProductLookup[Standard_Price],"Not Found")</f>
        <v>220</v>
      </c>
      <c r="P30" s="3">
        <f>SalesData[[#This Row],[Revenue]]-SalesData[[#This Row],[Cost]]</f>
        <v>1101.06</v>
      </c>
      <c r="Q30" s="5">
        <f>IFERROR(SalesData[[#This Row],[Profit]]/SalesData[[#This Row],[Revenue]],0)</f>
        <v>0.34459599026045157</v>
      </c>
      <c r="R30" s="3">
        <f>SalesData[[#This Row],[Revenue]]-SalesData[[#This Row],[Target]]</f>
        <v>158.75999999999976</v>
      </c>
      <c r="S30" s="3" t="str">
        <f t="shared" si="0"/>
        <v>Above Target</v>
      </c>
    </row>
    <row r="31" spans="1:19" ht="27.6">
      <c r="A31" t="s">
        <v>121</v>
      </c>
      <c r="B31" s="21">
        <v>45936</v>
      </c>
      <c r="C31" t="s">
        <v>22</v>
      </c>
      <c r="D31" t="s">
        <v>64</v>
      </c>
      <c r="E31" t="s">
        <v>115</v>
      </c>
      <c r="F31" t="s">
        <v>25</v>
      </c>
      <c r="G31" t="s">
        <v>33</v>
      </c>
      <c r="H31" t="s">
        <v>34</v>
      </c>
      <c r="I31">
        <v>14</v>
      </c>
      <c r="J31">
        <v>33.71</v>
      </c>
      <c r="K31">
        <v>0.1</v>
      </c>
      <c r="L31">
        <v>424.75</v>
      </c>
      <c r="M31">
        <v>287.91000000000003</v>
      </c>
      <c r="N31">
        <v>420.48</v>
      </c>
      <c r="O31" s="3">
        <f>_xlfn.XLOOKUP(SalesData[[#This Row],[Product]],ProductLookup[Product],ProductLookup[Standard_Price],"Not Found")</f>
        <v>35</v>
      </c>
      <c r="P31" s="3">
        <f>SalesData[[#This Row],[Revenue]]-SalesData[[#This Row],[Cost]]</f>
        <v>136.83999999999997</v>
      </c>
      <c r="Q31" s="5">
        <f>IFERROR(SalesData[[#This Row],[Profit]]/SalesData[[#This Row],[Revenue]],0)</f>
        <v>0.32216597998822832</v>
      </c>
      <c r="R31" s="3">
        <f>SalesData[[#This Row],[Revenue]]-SalesData[[#This Row],[Target]]</f>
        <v>4.2699999999999818</v>
      </c>
      <c r="S31" s="3" t="str">
        <f t="shared" si="0"/>
        <v>Above Target</v>
      </c>
    </row>
    <row r="32" spans="1:19" ht="13.8">
      <c r="A32" t="s">
        <v>122</v>
      </c>
      <c r="B32" s="21">
        <v>45926</v>
      </c>
      <c r="C32" t="s">
        <v>29</v>
      </c>
      <c r="D32" t="s">
        <v>23</v>
      </c>
      <c r="E32" t="s">
        <v>69</v>
      </c>
      <c r="F32" t="s">
        <v>74</v>
      </c>
      <c r="G32" t="s">
        <v>33</v>
      </c>
      <c r="H32" t="s">
        <v>42</v>
      </c>
      <c r="I32">
        <v>1</v>
      </c>
      <c r="J32">
        <v>62.24</v>
      </c>
      <c r="K32">
        <v>0.02</v>
      </c>
      <c r="L32">
        <v>61</v>
      </c>
      <c r="M32">
        <v>44.77</v>
      </c>
      <c r="N32">
        <v>65.040000000000006</v>
      </c>
      <c r="O32" s="3">
        <f>_xlfn.XLOOKUP(SalesData[[#This Row],[Product]],ProductLookup[Product],ProductLookup[Standard_Price],"Not Found")</f>
        <v>60</v>
      </c>
      <c r="P32" s="3">
        <f>SalesData[[#This Row],[Revenue]]-SalesData[[#This Row],[Cost]]</f>
        <v>16.229999999999997</v>
      </c>
      <c r="Q32" s="5">
        <f>IFERROR(SalesData[[#This Row],[Profit]]/SalesData[[#This Row],[Revenue]],0)</f>
        <v>0.26606557377049173</v>
      </c>
      <c r="R32" s="3">
        <f>SalesData[[#This Row],[Revenue]]-SalesData[[#This Row],[Target]]</f>
        <v>-4.0400000000000063</v>
      </c>
      <c r="S32" s="3" t="str">
        <f t="shared" si="0"/>
        <v>Below Target</v>
      </c>
    </row>
    <row r="33" spans="1:19" ht="13.8">
      <c r="A33" t="s">
        <v>123</v>
      </c>
      <c r="B33" s="21">
        <v>45974</v>
      </c>
      <c r="C33" t="s">
        <v>22</v>
      </c>
      <c r="D33" t="s">
        <v>16</v>
      </c>
      <c r="E33" t="s">
        <v>124</v>
      </c>
      <c r="F33" t="s">
        <v>18</v>
      </c>
      <c r="G33" t="s">
        <v>45</v>
      </c>
      <c r="H33" t="s">
        <v>46</v>
      </c>
      <c r="I33">
        <v>2</v>
      </c>
      <c r="J33">
        <v>341.92</v>
      </c>
      <c r="K33">
        <v>0.03</v>
      </c>
      <c r="L33">
        <v>663.32</v>
      </c>
      <c r="M33">
        <v>497.56</v>
      </c>
      <c r="N33">
        <v>668.21</v>
      </c>
      <c r="O33" s="3">
        <f>_xlfn.XLOOKUP(SalesData[[#This Row],[Product]],ProductLookup[Product],ProductLookup[Standard_Price],"Not Found")</f>
        <v>340</v>
      </c>
      <c r="P33" s="3">
        <f>SalesData[[#This Row],[Revenue]]-SalesData[[#This Row],[Cost]]</f>
        <v>165.76000000000005</v>
      </c>
      <c r="Q33" s="5">
        <f>IFERROR(SalesData[[#This Row],[Profit]]/SalesData[[#This Row],[Revenue]],0)</f>
        <v>0.2498944702406079</v>
      </c>
      <c r="R33" s="3">
        <f>SalesData[[#This Row],[Revenue]]-SalesData[[#This Row],[Target]]</f>
        <v>-4.8899999999999864</v>
      </c>
      <c r="S33" s="3" t="str">
        <f t="shared" si="0"/>
        <v>Below Target</v>
      </c>
    </row>
    <row r="34" spans="1:19" ht="13.8">
      <c r="A34" t="s">
        <v>125</v>
      </c>
      <c r="B34" s="21">
        <v>45785</v>
      </c>
      <c r="C34" t="s">
        <v>15</v>
      </c>
      <c r="D34" t="s">
        <v>68</v>
      </c>
      <c r="E34" t="s">
        <v>120</v>
      </c>
      <c r="F34" t="s">
        <v>25</v>
      </c>
      <c r="G34" t="s">
        <v>26</v>
      </c>
      <c r="H34" t="s">
        <v>39</v>
      </c>
      <c r="I34">
        <v>5</v>
      </c>
      <c r="J34">
        <v>209.93</v>
      </c>
      <c r="K34">
        <v>0</v>
      </c>
      <c r="L34">
        <v>1049.6500000000001</v>
      </c>
      <c r="M34">
        <v>747.03</v>
      </c>
      <c r="N34">
        <v>1065.2</v>
      </c>
      <c r="O34" s="3">
        <f>_xlfn.XLOOKUP(SalesData[[#This Row],[Product]],ProductLookup[Product],ProductLookup[Standard_Price],"Not Found")</f>
        <v>220</v>
      </c>
      <c r="P34" s="3">
        <f>SalesData[[#This Row],[Revenue]]-SalesData[[#This Row],[Cost]]</f>
        <v>302.62000000000012</v>
      </c>
      <c r="Q34" s="5">
        <f>IFERROR(SalesData[[#This Row],[Profit]]/SalesData[[#This Row],[Revenue]],0)</f>
        <v>0.28830562568475215</v>
      </c>
      <c r="R34" s="3">
        <f>SalesData[[#This Row],[Revenue]]-SalesData[[#This Row],[Target]]</f>
        <v>-15.549999999999955</v>
      </c>
      <c r="S34" s="3" t="str">
        <f t="shared" si="0"/>
        <v>Below Target</v>
      </c>
    </row>
    <row r="35" spans="1:19" ht="27.6">
      <c r="A35" t="s">
        <v>126</v>
      </c>
      <c r="B35" s="21">
        <v>46012</v>
      </c>
      <c r="C35" t="s">
        <v>67</v>
      </c>
      <c r="D35" t="s">
        <v>64</v>
      </c>
      <c r="E35" t="s">
        <v>127</v>
      </c>
      <c r="F35" t="s">
        <v>25</v>
      </c>
      <c r="G35" t="s">
        <v>26</v>
      </c>
      <c r="H35" t="s">
        <v>27</v>
      </c>
      <c r="I35">
        <v>8</v>
      </c>
      <c r="J35">
        <v>320.26</v>
      </c>
      <c r="K35">
        <v>0.05</v>
      </c>
      <c r="L35">
        <v>2433.98</v>
      </c>
      <c r="M35">
        <v>1732.28</v>
      </c>
      <c r="N35">
        <v>2286.5700000000002</v>
      </c>
      <c r="O35" s="3">
        <f>_xlfn.XLOOKUP(SalesData[[#This Row],[Product]],ProductLookup[Product],ProductLookup[Standard_Price],"Not Found")</f>
        <v>320</v>
      </c>
      <c r="P35" s="3">
        <f>SalesData[[#This Row],[Revenue]]-SalesData[[#This Row],[Cost]]</f>
        <v>701.7</v>
      </c>
      <c r="Q35" s="5">
        <f>IFERROR(SalesData[[#This Row],[Profit]]/SalesData[[#This Row],[Revenue]],0)</f>
        <v>0.28829324809571155</v>
      </c>
      <c r="R35" s="3">
        <f>SalesData[[#This Row],[Revenue]]-SalesData[[#This Row],[Target]]</f>
        <v>147.40999999999985</v>
      </c>
      <c r="S35" s="3" t="str">
        <f t="shared" si="0"/>
        <v>Above Target</v>
      </c>
    </row>
    <row r="36" spans="1:19" ht="13.8">
      <c r="A36" t="s">
        <v>128</v>
      </c>
      <c r="B36" s="21">
        <v>45887</v>
      </c>
      <c r="C36" t="s">
        <v>22</v>
      </c>
      <c r="D36" t="s">
        <v>16</v>
      </c>
      <c r="E36" t="s">
        <v>65</v>
      </c>
      <c r="F36" t="s">
        <v>32</v>
      </c>
      <c r="G36" t="s">
        <v>19</v>
      </c>
      <c r="H36" t="s">
        <v>38</v>
      </c>
      <c r="I36">
        <v>7</v>
      </c>
      <c r="J36">
        <v>914.05</v>
      </c>
      <c r="K36">
        <v>0.05</v>
      </c>
      <c r="L36">
        <v>6078.43</v>
      </c>
      <c r="M36">
        <v>4069.6</v>
      </c>
      <c r="N36">
        <v>6328.12</v>
      </c>
      <c r="O36" s="3">
        <f>_xlfn.XLOOKUP(SalesData[[#This Row],[Product]],ProductLookup[Product],ProductLookup[Standard_Price],"Not Found")</f>
        <v>950</v>
      </c>
      <c r="P36" s="3">
        <f>SalesData[[#This Row],[Revenue]]-SalesData[[#This Row],[Cost]]</f>
        <v>2008.8300000000004</v>
      </c>
      <c r="Q36" s="5">
        <f>IFERROR(SalesData[[#This Row],[Profit]]/SalesData[[#This Row],[Revenue]],0)</f>
        <v>0.33048501010951847</v>
      </c>
      <c r="R36" s="3">
        <f>SalesData[[#This Row],[Revenue]]-SalesData[[#This Row],[Target]]</f>
        <v>-249.6899999999996</v>
      </c>
      <c r="S36" s="3" t="str">
        <f t="shared" si="0"/>
        <v>Below Target</v>
      </c>
    </row>
    <row r="37" spans="1:19" ht="27.6">
      <c r="A37" t="s">
        <v>129</v>
      </c>
      <c r="B37" s="21">
        <v>45720</v>
      </c>
      <c r="C37" t="s">
        <v>29</v>
      </c>
      <c r="D37" t="s">
        <v>68</v>
      </c>
      <c r="E37" t="s">
        <v>106</v>
      </c>
      <c r="F37" t="s">
        <v>18</v>
      </c>
      <c r="G37" t="s">
        <v>45</v>
      </c>
      <c r="H37" t="s">
        <v>47</v>
      </c>
      <c r="I37">
        <v>3</v>
      </c>
      <c r="J37">
        <v>438.46</v>
      </c>
      <c r="K37">
        <v>0.1</v>
      </c>
      <c r="L37">
        <v>1183.8399999999999</v>
      </c>
      <c r="M37">
        <v>882.26</v>
      </c>
      <c r="N37">
        <v>1082.4000000000001</v>
      </c>
      <c r="O37" s="3">
        <f>_xlfn.XLOOKUP(SalesData[[#This Row],[Product]],ProductLookup[Product],ProductLookup[Standard_Price],"Not Found")</f>
        <v>420</v>
      </c>
      <c r="P37" s="3">
        <f>SalesData[[#This Row],[Revenue]]-SalesData[[#This Row],[Cost]]</f>
        <v>301.57999999999993</v>
      </c>
      <c r="Q37" s="5">
        <f>IFERROR(SalesData[[#This Row],[Profit]]/SalesData[[#This Row],[Revenue]],0)</f>
        <v>0.25474726314366802</v>
      </c>
      <c r="R37" s="3">
        <f>SalesData[[#This Row],[Revenue]]-SalesData[[#This Row],[Target]]</f>
        <v>101.43999999999983</v>
      </c>
      <c r="S37" s="3" t="str">
        <f t="shared" si="0"/>
        <v>Above Target</v>
      </c>
    </row>
    <row r="38" spans="1:19" ht="27.6">
      <c r="A38" t="s">
        <v>130</v>
      </c>
      <c r="B38" s="21">
        <v>45861</v>
      </c>
      <c r="C38" t="s">
        <v>22</v>
      </c>
      <c r="D38" t="s">
        <v>30</v>
      </c>
      <c r="E38" t="s">
        <v>131</v>
      </c>
      <c r="F38" t="s">
        <v>25</v>
      </c>
      <c r="G38" t="s">
        <v>33</v>
      </c>
      <c r="H38" t="s">
        <v>41</v>
      </c>
      <c r="I38">
        <v>3</v>
      </c>
      <c r="J38">
        <v>89.16</v>
      </c>
      <c r="K38">
        <v>0.02</v>
      </c>
      <c r="L38">
        <v>262.13</v>
      </c>
      <c r="M38">
        <v>166.59</v>
      </c>
      <c r="N38">
        <v>257.82</v>
      </c>
      <c r="O38" s="3">
        <f>_xlfn.XLOOKUP(SalesData[[#This Row],[Product]],ProductLookup[Product],ProductLookup[Standard_Price],"Not Found")</f>
        <v>85</v>
      </c>
      <c r="P38" s="3">
        <f>SalesData[[#This Row],[Revenue]]-SalesData[[#This Row],[Cost]]</f>
        <v>95.539999999999992</v>
      </c>
      <c r="Q38" s="5">
        <f>IFERROR(SalesData[[#This Row],[Profit]]/SalesData[[#This Row],[Revenue]],0)</f>
        <v>0.3644756418570938</v>
      </c>
      <c r="R38" s="3">
        <f>SalesData[[#This Row],[Revenue]]-SalesData[[#This Row],[Target]]</f>
        <v>4.3100000000000023</v>
      </c>
      <c r="S38" s="3" t="str">
        <f t="shared" si="0"/>
        <v>Above Target</v>
      </c>
    </row>
    <row r="39" spans="1:19" ht="27.6">
      <c r="A39" t="s">
        <v>132</v>
      </c>
      <c r="B39" s="21">
        <v>45840</v>
      </c>
      <c r="C39" t="s">
        <v>15</v>
      </c>
      <c r="D39" t="s">
        <v>68</v>
      </c>
      <c r="E39" t="s">
        <v>133</v>
      </c>
      <c r="F39" t="s">
        <v>32</v>
      </c>
      <c r="G39" t="s">
        <v>26</v>
      </c>
      <c r="H39" t="s">
        <v>40</v>
      </c>
      <c r="I39">
        <v>2</v>
      </c>
      <c r="J39">
        <v>460</v>
      </c>
      <c r="K39">
        <v>0</v>
      </c>
      <c r="L39">
        <v>920</v>
      </c>
      <c r="M39">
        <v>620.41</v>
      </c>
      <c r="N39">
        <v>910.87</v>
      </c>
      <c r="O39" s="3">
        <f>_xlfn.XLOOKUP(SalesData[[#This Row],[Product]],ProductLookup[Product],ProductLookup[Standard_Price],"Not Found")</f>
        <v>450</v>
      </c>
      <c r="P39" s="3">
        <f>SalesData[[#This Row],[Revenue]]-SalesData[[#This Row],[Cost]]</f>
        <v>299.59000000000003</v>
      </c>
      <c r="Q39" s="5">
        <f>IFERROR(SalesData[[#This Row],[Profit]]/SalesData[[#This Row],[Revenue]],0)</f>
        <v>0.32564130434782612</v>
      </c>
      <c r="R39" s="3">
        <f>SalesData[[#This Row],[Revenue]]-SalesData[[#This Row],[Target]]</f>
        <v>9.1299999999999955</v>
      </c>
      <c r="S39" s="3" t="str">
        <f t="shared" si="0"/>
        <v>Above Target</v>
      </c>
    </row>
    <row r="40" spans="1:19" ht="27.6">
      <c r="A40" t="s">
        <v>134</v>
      </c>
      <c r="B40" s="21">
        <v>45920</v>
      </c>
      <c r="C40" t="s">
        <v>67</v>
      </c>
      <c r="D40" t="s">
        <v>30</v>
      </c>
      <c r="E40" t="s">
        <v>135</v>
      </c>
      <c r="F40" t="s">
        <v>25</v>
      </c>
      <c r="G40" t="s">
        <v>19</v>
      </c>
      <c r="H40" t="s">
        <v>37</v>
      </c>
      <c r="I40">
        <v>2</v>
      </c>
      <c r="J40">
        <v>1153.3599999999999</v>
      </c>
      <c r="K40">
        <v>0.02</v>
      </c>
      <c r="L40">
        <v>2260.59</v>
      </c>
      <c r="M40">
        <v>1839.61</v>
      </c>
      <c r="N40">
        <v>2046.17</v>
      </c>
      <c r="O40" s="3">
        <f>_xlfn.XLOOKUP(SalesData[[#This Row],[Product]],ProductLookup[Product],ProductLookup[Standard_Price],"Not Found")</f>
        <v>1100</v>
      </c>
      <c r="P40" s="3">
        <f>SalesData[[#This Row],[Revenue]]-SalesData[[#This Row],[Cost]]</f>
        <v>420.98000000000025</v>
      </c>
      <c r="Q40" s="5">
        <f>IFERROR(SalesData[[#This Row],[Profit]]/SalesData[[#This Row],[Revenue]],0)</f>
        <v>0.18622571983420266</v>
      </c>
      <c r="R40" s="3">
        <f>SalesData[[#This Row],[Revenue]]-SalesData[[#This Row],[Target]]</f>
        <v>214.42000000000007</v>
      </c>
      <c r="S40" s="3" t="str">
        <f t="shared" si="0"/>
        <v>Above Target</v>
      </c>
    </row>
    <row r="41" spans="1:19" ht="27.6">
      <c r="A41" t="s">
        <v>136</v>
      </c>
      <c r="B41" s="21">
        <v>45796</v>
      </c>
      <c r="C41" t="s">
        <v>29</v>
      </c>
      <c r="D41" t="s">
        <v>64</v>
      </c>
      <c r="E41" t="s">
        <v>137</v>
      </c>
      <c r="F41" t="s">
        <v>74</v>
      </c>
      <c r="G41" t="s">
        <v>45</v>
      </c>
      <c r="H41" t="s">
        <v>47</v>
      </c>
      <c r="I41">
        <v>3</v>
      </c>
      <c r="J41">
        <v>433.43</v>
      </c>
      <c r="K41">
        <v>0.1</v>
      </c>
      <c r="L41">
        <v>1170.26</v>
      </c>
      <c r="M41">
        <v>913.01</v>
      </c>
      <c r="N41">
        <v>1102.46</v>
      </c>
      <c r="O41" s="3">
        <f>_xlfn.XLOOKUP(SalesData[[#This Row],[Product]],ProductLookup[Product],ProductLookup[Standard_Price],"Not Found")</f>
        <v>420</v>
      </c>
      <c r="P41" s="3">
        <f>SalesData[[#This Row],[Revenue]]-SalesData[[#This Row],[Cost]]</f>
        <v>257.25</v>
      </c>
      <c r="Q41" s="5">
        <f>IFERROR(SalesData[[#This Row],[Profit]]/SalesData[[#This Row],[Revenue]],0)</f>
        <v>0.21982294532838856</v>
      </c>
      <c r="R41" s="3">
        <f>SalesData[[#This Row],[Revenue]]-SalesData[[#This Row],[Target]]</f>
        <v>67.799999999999955</v>
      </c>
      <c r="S41" s="3" t="str">
        <f t="shared" si="0"/>
        <v>Above Target</v>
      </c>
    </row>
    <row r="42" spans="1:19" ht="13.8">
      <c r="A42" t="s">
        <v>138</v>
      </c>
      <c r="B42" s="21">
        <v>46016</v>
      </c>
      <c r="C42" t="s">
        <v>67</v>
      </c>
      <c r="D42" t="s">
        <v>16</v>
      </c>
      <c r="E42" t="s">
        <v>139</v>
      </c>
      <c r="F42" t="s">
        <v>18</v>
      </c>
      <c r="G42" t="s">
        <v>26</v>
      </c>
      <c r="H42" t="s">
        <v>40</v>
      </c>
      <c r="I42">
        <v>2</v>
      </c>
      <c r="J42">
        <v>440.06</v>
      </c>
      <c r="K42">
        <v>0.1</v>
      </c>
      <c r="L42">
        <v>792.11</v>
      </c>
      <c r="M42">
        <v>507.22</v>
      </c>
      <c r="N42">
        <v>867.26</v>
      </c>
      <c r="O42" s="3">
        <f>_xlfn.XLOOKUP(SalesData[[#This Row],[Product]],ProductLookup[Product],ProductLookup[Standard_Price],"Not Found")</f>
        <v>450</v>
      </c>
      <c r="P42" s="3">
        <f>SalesData[[#This Row],[Revenue]]-SalesData[[#This Row],[Cost]]</f>
        <v>284.89</v>
      </c>
      <c r="Q42" s="5">
        <f>IFERROR(SalesData[[#This Row],[Profit]]/SalesData[[#This Row],[Revenue]],0)</f>
        <v>0.35965964323136934</v>
      </c>
      <c r="R42" s="3">
        <f>SalesData[[#This Row],[Revenue]]-SalesData[[#This Row],[Target]]</f>
        <v>-75.149999999999977</v>
      </c>
      <c r="S42" s="3" t="str">
        <f t="shared" si="0"/>
        <v>Below Target</v>
      </c>
    </row>
    <row r="43" spans="1:19" ht="27.6">
      <c r="A43" t="s">
        <v>140</v>
      </c>
      <c r="B43" s="21">
        <v>45791</v>
      </c>
      <c r="C43" t="s">
        <v>15</v>
      </c>
      <c r="D43" t="s">
        <v>30</v>
      </c>
      <c r="E43" t="s">
        <v>141</v>
      </c>
      <c r="F43" t="s">
        <v>74</v>
      </c>
      <c r="G43" t="s">
        <v>19</v>
      </c>
      <c r="H43" t="s">
        <v>37</v>
      </c>
      <c r="I43">
        <v>10</v>
      </c>
      <c r="J43">
        <v>1139.19</v>
      </c>
      <c r="K43">
        <v>0</v>
      </c>
      <c r="L43">
        <v>11391.9</v>
      </c>
      <c r="M43">
        <v>7497.91</v>
      </c>
      <c r="N43">
        <v>10357.549999999999</v>
      </c>
      <c r="O43" s="3">
        <f>_xlfn.XLOOKUP(SalesData[[#This Row],[Product]],ProductLookup[Product],ProductLookup[Standard_Price],"Not Found")</f>
        <v>1100</v>
      </c>
      <c r="P43" s="3">
        <f>SalesData[[#This Row],[Revenue]]-SalesData[[#This Row],[Cost]]</f>
        <v>3893.99</v>
      </c>
      <c r="Q43" s="5">
        <f>IFERROR(SalesData[[#This Row],[Profit]]/SalesData[[#This Row],[Revenue]],0)</f>
        <v>0.34182094295069304</v>
      </c>
      <c r="R43" s="3">
        <f>SalesData[[#This Row],[Revenue]]-SalesData[[#This Row],[Target]]</f>
        <v>1034.3500000000004</v>
      </c>
      <c r="S43" s="3" t="str">
        <f t="shared" si="0"/>
        <v>Above Target</v>
      </c>
    </row>
    <row r="44" spans="1:19" ht="27.6">
      <c r="A44" t="s">
        <v>142</v>
      </c>
      <c r="B44" s="21">
        <v>45795</v>
      </c>
      <c r="C44" t="s">
        <v>29</v>
      </c>
      <c r="D44" t="s">
        <v>30</v>
      </c>
      <c r="E44" t="s">
        <v>143</v>
      </c>
      <c r="F44" t="s">
        <v>25</v>
      </c>
      <c r="G44" t="s">
        <v>33</v>
      </c>
      <c r="H44" t="s">
        <v>43</v>
      </c>
      <c r="I44">
        <v>3</v>
      </c>
      <c r="J44">
        <v>71.569999999999993</v>
      </c>
      <c r="K44">
        <v>0.1</v>
      </c>
      <c r="L44">
        <v>193.24</v>
      </c>
      <c r="M44">
        <v>126.08</v>
      </c>
      <c r="N44">
        <v>175.13</v>
      </c>
      <c r="O44" s="3">
        <f>_xlfn.XLOOKUP(SalesData[[#This Row],[Product]],ProductLookup[Product],ProductLookup[Standard_Price],"Not Found")</f>
        <v>75</v>
      </c>
      <c r="P44" s="3">
        <f>SalesData[[#This Row],[Revenue]]-SalesData[[#This Row],[Cost]]</f>
        <v>67.160000000000011</v>
      </c>
      <c r="Q44" s="5">
        <f>IFERROR(SalesData[[#This Row],[Profit]]/SalesData[[#This Row],[Revenue]],0)</f>
        <v>0.34754709169944115</v>
      </c>
      <c r="R44" s="3">
        <f>SalesData[[#This Row],[Revenue]]-SalesData[[#This Row],[Target]]</f>
        <v>18.110000000000014</v>
      </c>
      <c r="S44" s="3" t="str">
        <f t="shared" si="0"/>
        <v>Above Target</v>
      </c>
    </row>
    <row r="45" spans="1:19" ht="13.8">
      <c r="A45" t="s">
        <v>144</v>
      </c>
      <c r="B45" s="21">
        <v>45761</v>
      </c>
      <c r="C45" t="s">
        <v>29</v>
      </c>
      <c r="D45" t="s">
        <v>30</v>
      </c>
      <c r="E45" t="s">
        <v>145</v>
      </c>
      <c r="F45" t="s">
        <v>18</v>
      </c>
      <c r="G45" t="s">
        <v>26</v>
      </c>
      <c r="H45" t="s">
        <v>27</v>
      </c>
      <c r="I45">
        <v>11</v>
      </c>
      <c r="J45">
        <v>313.76</v>
      </c>
      <c r="K45">
        <v>0.02</v>
      </c>
      <c r="L45">
        <v>3382.33</v>
      </c>
      <c r="M45">
        <v>2245.16</v>
      </c>
      <c r="N45">
        <v>3382.4</v>
      </c>
      <c r="O45" s="3">
        <f>_xlfn.XLOOKUP(SalesData[[#This Row],[Product]],ProductLookup[Product],ProductLookup[Standard_Price],"Not Found")</f>
        <v>320</v>
      </c>
      <c r="P45" s="3">
        <f>SalesData[[#This Row],[Revenue]]-SalesData[[#This Row],[Cost]]</f>
        <v>1137.17</v>
      </c>
      <c r="Q45" s="5">
        <f>IFERROR(SalesData[[#This Row],[Profit]]/SalesData[[#This Row],[Revenue]],0)</f>
        <v>0.33620906298320985</v>
      </c>
      <c r="R45" s="3">
        <f>SalesData[[#This Row],[Revenue]]-SalesData[[#This Row],[Target]]</f>
        <v>-7.0000000000163709E-2</v>
      </c>
      <c r="S45" s="3" t="str">
        <f t="shared" si="0"/>
        <v>Below Target</v>
      </c>
    </row>
    <row r="46" spans="1:19" ht="27.6">
      <c r="A46" t="s">
        <v>146</v>
      </c>
      <c r="B46" s="21">
        <v>45786</v>
      </c>
      <c r="C46" t="s">
        <v>22</v>
      </c>
      <c r="D46" t="s">
        <v>23</v>
      </c>
      <c r="E46" t="s">
        <v>78</v>
      </c>
      <c r="F46" t="s">
        <v>74</v>
      </c>
      <c r="G46" t="s">
        <v>19</v>
      </c>
      <c r="H46" t="s">
        <v>20</v>
      </c>
      <c r="I46">
        <v>1</v>
      </c>
      <c r="J46">
        <v>809.07</v>
      </c>
      <c r="K46">
        <v>0.08</v>
      </c>
      <c r="L46">
        <v>744.34</v>
      </c>
      <c r="M46">
        <v>536.84</v>
      </c>
      <c r="N46">
        <v>688.86</v>
      </c>
      <c r="O46" s="3">
        <f>_xlfn.XLOOKUP(SalesData[[#This Row],[Product]],ProductLookup[Product],ProductLookup[Standard_Price],"Not Found")</f>
        <v>850</v>
      </c>
      <c r="P46" s="3">
        <f>SalesData[[#This Row],[Revenue]]-SalesData[[#This Row],[Cost]]</f>
        <v>207.5</v>
      </c>
      <c r="Q46" s="5">
        <f>IFERROR(SalesData[[#This Row],[Profit]]/SalesData[[#This Row],[Revenue]],0)</f>
        <v>0.27877045436225378</v>
      </c>
      <c r="R46" s="3">
        <f>SalesData[[#This Row],[Revenue]]-SalesData[[#This Row],[Target]]</f>
        <v>55.480000000000018</v>
      </c>
      <c r="S46" s="3" t="str">
        <f t="shared" si="0"/>
        <v>Above Target</v>
      </c>
    </row>
    <row r="47" spans="1:19" ht="13.8">
      <c r="A47" t="s">
        <v>147</v>
      </c>
      <c r="B47" s="21">
        <v>45712</v>
      </c>
      <c r="C47" t="s">
        <v>22</v>
      </c>
      <c r="D47" t="s">
        <v>64</v>
      </c>
      <c r="E47" t="s">
        <v>148</v>
      </c>
      <c r="F47" t="s">
        <v>25</v>
      </c>
      <c r="G47" t="s">
        <v>45</v>
      </c>
      <c r="H47" t="s">
        <v>44</v>
      </c>
      <c r="I47">
        <v>14</v>
      </c>
      <c r="J47">
        <v>263.89999999999998</v>
      </c>
      <c r="K47">
        <v>0.1</v>
      </c>
      <c r="L47">
        <v>3325.14</v>
      </c>
      <c r="M47">
        <v>2357.19</v>
      </c>
      <c r="N47">
        <v>3592.17</v>
      </c>
      <c r="O47" s="3">
        <f>_xlfn.XLOOKUP(SalesData[[#This Row],[Product]],ProductLookup[Product],ProductLookup[Standard_Price],"Not Found")</f>
        <v>260</v>
      </c>
      <c r="P47" s="3">
        <f>SalesData[[#This Row],[Revenue]]-SalesData[[#This Row],[Cost]]</f>
        <v>967.94999999999982</v>
      </c>
      <c r="Q47" s="5">
        <f>IFERROR(SalesData[[#This Row],[Profit]]/SalesData[[#This Row],[Revenue]],0)</f>
        <v>0.29110052509067286</v>
      </c>
      <c r="R47" s="3">
        <f>SalesData[[#This Row],[Revenue]]-SalesData[[#This Row],[Target]]</f>
        <v>-267.0300000000002</v>
      </c>
      <c r="S47" s="3" t="str">
        <f t="shared" si="0"/>
        <v>Below Target</v>
      </c>
    </row>
    <row r="48" spans="1:19" ht="27.6">
      <c r="A48" t="s">
        <v>149</v>
      </c>
      <c r="B48" s="21">
        <v>45775</v>
      </c>
      <c r="C48" t="s">
        <v>67</v>
      </c>
      <c r="D48" t="s">
        <v>16</v>
      </c>
      <c r="E48" t="s">
        <v>150</v>
      </c>
      <c r="F48" t="s">
        <v>25</v>
      </c>
      <c r="G48" t="s">
        <v>26</v>
      </c>
      <c r="H48" t="s">
        <v>40</v>
      </c>
      <c r="I48">
        <v>4</v>
      </c>
      <c r="J48">
        <v>464.95</v>
      </c>
      <c r="K48">
        <v>0.1</v>
      </c>
      <c r="L48">
        <v>1673.82</v>
      </c>
      <c r="M48">
        <v>1272.68</v>
      </c>
      <c r="N48">
        <v>1529.09</v>
      </c>
      <c r="O48" s="3">
        <f>_xlfn.XLOOKUP(SalesData[[#This Row],[Product]],ProductLookup[Product],ProductLookup[Standard_Price],"Not Found")</f>
        <v>450</v>
      </c>
      <c r="P48" s="3">
        <f>SalesData[[#This Row],[Revenue]]-SalesData[[#This Row],[Cost]]</f>
        <v>401.13999999999987</v>
      </c>
      <c r="Q48" s="5">
        <f>IFERROR(SalesData[[#This Row],[Profit]]/SalesData[[#This Row],[Revenue]],0)</f>
        <v>0.23965539902737445</v>
      </c>
      <c r="R48" s="3">
        <f>SalesData[[#This Row],[Revenue]]-SalesData[[#This Row],[Target]]</f>
        <v>144.73000000000002</v>
      </c>
      <c r="S48" s="3" t="str">
        <f t="shared" si="0"/>
        <v>Above Target</v>
      </c>
    </row>
    <row r="49" spans="1:19" ht="27.6">
      <c r="A49" t="s">
        <v>151</v>
      </c>
      <c r="B49" s="21">
        <v>45665</v>
      </c>
      <c r="C49" t="s">
        <v>22</v>
      </c>
      <c r="D49" t="s">
        <v>64</v>
      </c>
      <c r="E49" t="s">
        <v>83</v>
      </c>
      <c r="F49" t="s">
        <v>32</v>
      </c>
      <c r="G49" t="s">
        <v>19</v>
      </c>
      <c r="H49" t="s">
        <v>37</v>
      </c>
      <c r="I49">
        <v>11</v>
      </c>
      <c r="J49">
        <v>1126.5</v>
      </c>
      <c r="K49">
        <v>0.03</v>
      </c>
      <c r="L49">
        <v>12019.75</v>
      </c>
      <c r="M49">
        <v>8350.8799999999992</v>
      </c>
      <c r="N49">
        <v>10737.2</v>
      </c>
      <c r="O49" s="3">
        <f>_xlfn.XLOOKUP(SalesData[[#This Row],[Product]],ProductLookup[Product],ProductLookup[Standard_Price],"Not Found")</f>
        <v>1100</v>
      </c>
      <c r="P49" s="3">
        <f>SalesData[[#This Row],[Revenue]]-SalesData[[#This Row],[Cost]]</f>
        <v>3668.8700000000008</v>
      </c>
      <c r="Q49" s="5">
        <f>IFERROR(SalesData[[#This Row],[Profit]]/SalesData[[#This Row],[Revenue]],0)</f>
        <v>0.30523679777033641</v>
      </c>
      <c r="R49" s="3">
        <f>SalesData[[#This Row],[Revenue]]-SalesData[[#This Row],[Target]]</f>
        <v>1282.5499999999993</v>
      </c>
      <c r="S49" s="3" t="str">
        <f t="shared" si="0"/>
        <v>Above Target</v>
      </c>
    </row>
    <row r="50" spans="1:19" ht="27.6">
      <c r="A50" t="s">
        <v>152</v>
      </c>
      <c r="B50" s="21">
        <v>45964</v>
      </c>
      <c r="C50" t="s">
        <v>15</v>
      </c>
      <c r="D50" t="s">
        <v>30</v>
      </c>
      <c r="E50" t="s">
        <v>153</v>
      </c>
      <c r="F50" t="s">
        <v>32</v>
      </c>
      <c r="G50" t="s">
        <v>26</v>
      </c>
      <c r="H50" t="s">
        <v>39</v>
      </c>
      <c r="I50">
        <v>12</v>
      </c>
      <c r="J50">
        <v>215.45</v>
      </c>
      <c r="K50">
        <v>0.05</v>
      </c>
      <c r="L50">
        <v>2456.13</v>
      </c>
      <c r="M50">
        <v>1573.83</v>
      </c>
      <c r="N50">
        <v>2319.98</v>
      </c>
      <c r="O50" s="3">
        <f>_xlfn.XLOOKUP(SalesData[[#This Row],[Product]],ProductLookup[Product],ProductLookup[Standard_Price],"Not Found")</f>
        <v>220</v>
      </c>
      <c r="P50" s="3">
        <f>SalesData[[#This Row],[Revenue]]-SalesData[[#This Row],[Cost]]</f>
        <v>882.30000000000018</v>
      </c>
      <c r="Q50" s="5">
        <f>IFERROR(SalesData[[#This Row],[Profit]]/SalesData[[#This Row],[Revenue]],0)</f>
        <v>0.35922365672826773</v>
      </c>
      <c r="R50" s="3">
        <f>SalesData[[#This Row],[Revenue]]-SalesData[[#This Row],[Target]]</f>
        <v>136.15000000000009</v>
      </c>
      <c r="S50" s="3" t="str">
        <f t="shared" si="0"/>
        <v>Above Target</v>
      </c>
    </row>
    <row r="51" spans="1:19" ht="27.6">
      <c r="A51" t="s">
        <v>154</v>
      </c>
      <c r="B51" s="21">
        <v>45938</v>
      </c>
      <c r="C51" t="s">
        <v>67</v>
      </c>
      <c r="D51" t="s">
        <v>68</v>
      </c>
      <c r="E51" t="s">
        <v>91</v>
      </c>
      <c r="F51" t="s">
        <v>74</v>
      </c>
      <c r="G51" t="s">
        <v>26</v>
      </c>
      <c r="H51" t="s">
        <v>40</v>
      </c>
      <c r="I51">
        <v>4</v>
      </c>
      <c r="J51">
        <v>429.05</v>
      </c>
      <c r="K51">
        <v>0.03</v>
      </c>
      <c r="L51">
        <v>1664.71</v>
      </c>
      <c r="M51">
        <v>1078.6199999999999</v>
      </c>
      <c r="N51">
        <v>1538.04</v>
      </c>
      <c r="O51" s="3">
        <f>_xlfn.XLOOKUP(SalesData[[#This Row],[Product]],ProductLookup[Product],ProductLookup[Standard_Price],"Not Found")</f>
        <v>450</v>
      </c>
      <c r="P51" s="3">
        <f>SalesData[[#This Row],[Revenue]]-SalesData[[#This Row],[Cost]]</f>
        <v>586.09000000000015</v>
      </c>
      <c r="Q51" s="5">
        <f>IFERROR(SalesData[[#This Row],[Profit]]/SalesData[[#This Row],[Revenue]],0)</f>
        <v>0.35206732704194732</v>
      </c>
      <c r="R51" s="3">
        <f>SalesData[[#This Row],[Revenue]]-SalesData[[#This Row],[Target]]</f>
        <v>126.67000000000007</v>
      </c>
      <c r="S51" s="3" t="str">
        <f t="shared" si="0"/>
        <v>Above Target</v>
      </c>
    </row>
    <row r="52" spans="1:19" ht="27.6">
      <c r="A52" t="s">
        <v>155</v>
      </c>
      <c r="B52" s="21">
        <v>45800</v>
      </c>
      <c r="C52" t="s">
        <v>15</v>
      </c>
      <c r="D52" t="s">
        <v>23</v>
      </c>
      <c r="E52" t="s">
        <v>156</v>
      </c>
      <c r="F52" t="s">
        <v>18</v>
      </c>
      <c r="G52" t="s">
        <v>33</v>
      </c>
      <c r="H52" t="s">
        <v>42</v>
      </c>
      <c r="I52">
        <v>11</v>
      </c>
      <c r="J52">
        <v>58.21</v>
      </c>
      <c r="K52">
        <v>0.08</v>
      </c>
      <c r="L52">
        <v>589.09</v>
      </c>
      <c r="M52">
        <v>454.05</v>
      </c>
      <c r="N52">
        <v>531.24</v>
      </c>
      <c r="O52" s="3">
        <f>_xlfn.XLOOKUP(SalesData[[#This Row],[Product]],ProductLookup[Product],ProductLookup[Standard_Price],"Not Found")</f>
        <v>60</v>
      </c>
      <c r="P52" s="3">
        <f>SalesData[[#This Row],[Revenue]]-SalesData[[#This Row],[Cost]]</f>
        <v>135.04000000000002</v>
      </c>
      <c r="Q52" s="5">
        <f>IFERROR(SalesData[[#This Row],[Profit]]/SalesData[[#This Row],[Revenue]],0)</f>
        <v>0.22923492165882975</v>
      </c>
      <c r="R52" s="3">
        <f>SalesData[[#This Row],[Revenue]]-SalesData[[#This Row],[Target]]</f>
        <v>57.850000000000023</v>
      </c>
      <c r="S52" s="3" t="str">
        <f t="shared" si="0"/>
        <v>Above Target</v>
      </c>
    </row>
    <row r="53" spans="1:19" ht="13.8">
      <c r="A53" t="s">
        <v>157</v>
      </c>
      <c r="B53" s="21">
        <v>45859</v>
      </c>
      <c r="C53" t="s">
        <v>29</v>
      </c>
      <c r="D53" t="s">
        <v>82</v>
      </c>
      <c r="E53" t="s">
        <v>127</v>
      </c>
      <c r="F53" t="s">
        <v>74</v>
      </c>
      <c r="G53" t="s">
        <v>19</v>
      </c>
      <c r="H53" t="s">
        <v>20</v>
      </c>
      <c r="I53">
        <v>5</v>
      </c>
      <c r="J53">
        <v>833.36</v>
      </c>
      <c r="K53">
        <v>0.02</v>
      </c>
      <c r="L53">
        <v>4083.46</v>
      </c>
      <c r="M53">
        <v>2525.9699999999998</v>
      </c>
      <c r="N53">
        <v>4531.96</v>
      </c>
      <c r="O53" s="3">
        <f>_xlfn.XLOOKUP(SalesData[[#This Row],[Product]],ProductLookup[Product],ProductLookup[Standard_Price],"Not Found")</f>
        <v>850</v>
      </c>
      <c r="P53" s="3">
        <f>SalesData[[#This Row],[Revenue]]-SalesData[[#This Row],[Cost]]</f>
        <v>1557.4900000000002</v>
      </c>
      <c r="Q53" s="5">
        <f>IFERROR(SalesData[[#This Row],[Profit]]/SalesData[[#This Row],[Revenue]],0)</f>
        <v>0.38141429082199907</v>
      </c>
      <c r="R53" s="3">
        <f>SalesData[[#This Row],[Revenue]]-SalesData[[#This Row],[Target]]</f>
        <v>-448.5</v>
      </c>
      <c r="S53" s="3" t="str">
        <f t="shared" si="0"/>
        <v>Below Target</v>
      </c>
    </row>
    <row r="54" spans="1:19" ht="27.6">
      <c r="A54" t="s">
        <v>158</v>
      </c>
      <c r="B54" s="21">
        <v>45824</v>
      </c>
      <c r="C54" t="s">
        <v>22</v>
      </c>
      <c r="D54" t="s">
        <v>82</v>
      </c>
      <c r="E54" t="s">
        <v>159</v>
      </c>
      <c r="F54" t="s">
        <v>25</v>
      </c>
      <c r="G54" t="s">
        <v>45</v>
      </c>
      <c r="H54" t="s">
        <v>46</v>
      </c>
      <c r="I54">
        <v>8</v>
      </c>
      <c r="J54">
        <v>328.08</v>
      </c>
      <c r="K54">
        <v>0.1</v>
      </c>
      <c r="L54">
        <v>2362.1799999999998</v>
      </c>
      <c r="M54">
        <v>1738.84</v>
      </c>
      <c r="N54">
        <v>2160.7800000000002</v>
      </c>
      <c r="O54" s="3">
        <f>_xlfn.XLOOKUP(SalesData[[#This Row],[Product]],ProductLookup[Product],ProductLookup[Standard_Price],"Not Found")</f>
        <v>340</v>
      </c>
      <c r="P54" s="3">
        <f>SalesData[[#This Row],[Revenue]]-SalesData[[#This Row],[Cost]]</f>
        <v>623.33999999999992</v>
      </c>
      <c r="Q54" s="5">
        <f>IFERROR(SalesData[[#This Row],[Profit]]/SalesData[[#This Row],[Revenue]],0)</f>
        <v>0.26388336197918871</v>
      </c>
      <c r="R54" s="3">
        <f>SalesData[[#This Row],[Revenue]]-SalesData[[#This Row],[Target]]</f>
        <v>201.39999999999964</v>
      </c>
      <c r="S54" s="3" t="str">
        <f t="shared" si="0"/>
        <v>Above Target</v>
      </c>
    </row>
    <row r="55" spans="1:19" ht="13.8">
      <c r="A55" t="s">
        <v>160</v>
      </c>
      <c r="B55" s="21">
        <v>45926</v>
      </c>
      <c r="C55" t="s">
        <v>29</v>
      </c>
      <c r="D55" t="s">
        <v>16</v>
      </c>
      <c r="E55" t="s">
        <v>98</v>
      </c>
      <c r="F55" t="s">
        <v>18</v>
      </c>
      <c r="G55" t="s">
        <v>45</v>
      </c>
      <c r="H55" t="s">
        <v>47</v>
      </c>
      <c r="I55">
        <v>9</v>
      </c>
      <c r="J55">
        <v>422.88</v>
      </c>
      <c r="K55">
        <v>0</v>
      </c>
      <c r="L55">
        <v>3805.92</v>
      </c>
      <c r="M55">
        <v>2975.51</v>
      </c>
      <c r="N55">
        <v>3882.7</v>
      </c>
      <c r="O55" s="3">
        <f>_xlfn.XLOOKUP(SalesData[[#This Row],[Product]],ProductLookup[Product],ProductLookup[Standard_Price],"Not Found")</f>
        <v>420</v>
      </c>
      <c r="P55" s="3">
        <f>SalesData[[#This Row],[Revenue]]-SalesData[[#This Row],[Cost]]</f>
        <v>830.40999999999985</v>
      </c>
      <c r="Q55" s="5">
        <f>IFERROR(SalesData[[#This Row],[Profit]]/SalesData[[#This Row],[Revenue]],0)</f>
        <v>0.21818903182410557</v>
      </c>
      <c r="R55" s="3">
        <f>SalesData[[#This Row],[Revenue]]-SalesData[[#This Row],[Target]]</f>
        <v>-76.779999999999745</v>
      </c>
      <c r="S55" s="3" t="str">
        <f t="shared" si="0"/>
        <v>Below Target</v>
      </c>
    </row>
    <row r="56" spans="1:19" ht="13.8">
      <c r="A56" t="s">
        <v>161</v>
      </c>
      <c r="B56" s="21">
        <v>45726</v>
      </c>
      <c r="C56" t="s">
        <v>15</v>
      </c>
      <c r="D56" t="s">
        <v>82</v>
      </c>
      <c r="E56" t="s">
        <v>162</v>
      </c>
      <c r="F56" t="s">
        <v>25</v>
      </c>
      <c r="G56" t="s">
        <v>45</v>
      </c>
      <c r="H56" t="s">
        <v>44</v>
      </c>
      <c r="I56">
        <v>6</v>
      </c>
      <c r="J56">
        <v>271.95</v>
      </c>
      <c r="K56">
        <v>0.05</v>
      </c>
      <c r="L56">
        <v>1550.11</v>
      </c>
      <c r="M56">
        <v>1215.0999999999999</v>
      </c>
      <c r="N56">
        <v>1571.88</v>
      </c>
      <c r="O56" s="3">
        <f>_xlfn.XLOOKUP(SalesData[[#This Row],[Product]],ProductLookup[Product],ProductLookup[Standard_Price],"Not Found")</f>
        <v>260</v>
      </c>
      <c r="P56" s="3">
        <f>SalesData[[#This Row],[Revenue]]-SalesData[[#This Row],[Cost]]</f>
        <v>335.01</v>
      </c>
      <c r="Q56" s="5">
        <f>IFERROR(SalesData[[#This Row],[Profit]]/SalesData[[#This Row],[Revenue]],0)</f>
        <v>0.2161201463121972</v>
      </c>
      <c r="R56" s="3">
        <f>SalesData[[#This Row],[Revenue]]-SalesData[[#This Row],[Target]]</f>
        <v>-21.770000000000209</v>
      </c>
      <c r="S56" s="3" t="str">
        <f t="shared" si="0"/>
        <v>Below Target</v>
      </c>
    </row>
    <row r="57" spans="1:19" ht="13.8">
      <c r="A57" t="s">
        <v>163</v>
      </c>
      <c r="B57" s="21">
        <v>45908</v>
      </c>
      <c r="C57" t="s">
        <v>15</v>
      </c>
      <c r="D57" t="s">
        <v>82</v>
      </c>
      <c r="E57" t="s">
        <v>164</v>
      </c>
      <c r="F57" t="s">
        <v>18</v>
      </c>
      <c r="G57" t="s">
        <v>26</v>
      </c>
      <c r="H57" t="s">
        <v>27</v>
      </c>
      <c r="I57">
        <v>1</v>
      </c>
      <c r="J57">
        <v>318.62</v>
      </c>
      <c r="K57">
        <v>0</v>
      </c>
      <c r="L57">
        <v>318.62</v>
      </c>
      <c r="M57">
        <v>243.62</v>
      </c>
      <c r="N57">
        <v>318.85000000000002</v>
      </c>
      <c r="O57" s="3">
        <f>_xlfn.XLOOKUP(SalesData[[#This Row],[Product]],ProductLookup[Product],ProductLookup[Standard_Price],"Not Found")</f>
        <v>320</v>
      </c>
      <c r="P57" s="3">
        <f>SalesData[[#This Row],[Revenue]]-SalesData[[#This Row],[Cost]]</f>
        <v>75</v>
      </c>
      <c r="Q57" s="5">
        <f>IFERROR(SalesData[[#This Row],[Profit]]/SalesData[[#This Row],[Revenue]],0)</f>
        <v>0.2353901198920344</v>
      </c>
      <c r="R57" s="3">
        <f>SalesData[[#This Row],[Revenue]]-SalesData[[#This Row],[Target]]</f>
        <v>-0.23000000000001819</v>
      </c>
      <c r="S57" s="3" t="str">
        <f t="shared" si="0"/>
        <v>Below Target</v>
      </c>
    </row>
    <row r="58" spans="1:19" ht="13.8">
      <c r="A58" t="s">
        <v>165</v>
      </c>
      <c r="B58" s="21">
        <v>45900</v>
      </c>
      <c r="C58" t="s">
        <v>29</v>
      </c>
      <c r="D58" t="s">
        <v>82</v>
      </c>
      <c r="E58" t="s">
        <v>166</v>
      </c>
      <c r="F58" t="s">
        <v>74</v>
      </c>
      <c r="G58" t="s">
        <v>26</v>
      </c>
      <c r="H58" t="s">
        <v>27</v>
      </c>
      <c r="I58">
        <v>13</v>
      </c>
      <c r="J58">
        <v>306.38</v>
      </c>
      <c r="K58">
        <v>0.03</v>
      </c>
      <c r="L58">
        <v>3863.45</v>
      </c>
      <c r="M58">
        <v>2517.63</v>
      </c>
      <c r="N58">
        <v>4101.2299999999996</v>
      </c>
      <c r="O58" s="3">
        <f>_xlfn.XLOOKUP(SalesData[[#This Row],[Product]],ProductLookup[Product],ProductLookup[Standard_Price],"Not Found")</f>
        <v>320</v>
      </c>
      <c r="P58" s="3">
        <f>SalesData[[#This Row],[Revenue]]-SalesData[[#This Row],[Cost]]</f>
        <v>1345.8199999999997</v>
      </c>
      <c r="Q58" s="5">
        <f>IFERROR(SalesData[[#This Row],[Profit]]/SalesData[[#This Row],[Revenue]],0)</f>
        <v>0.34834668495774496</v>
      </c>
      <c r="R58" s="3">
        <f>SalesData[[#This Row],[Revenue]]-SalesData[[#This Row],[Target]]</f>
        <v>-237.77999999999975</v>
      </c>
      <c r="S58" s="3" t="str">
        <f t="shared" si="0"/>
        <v>Below Target</v>
      </c>
    </row>
    <row r="59" spans="1:19" ht="27.6">
      <c r="A59" t="s">
        <v>167</v>
      </c>
      <c r="B59" s="21">
        <v>45910</v>
      </c>
      <c r="C59" t="s">
        <v>29</v>
      </c>
      <c r="D59" t="s">
        <v>16</v>
      </c>
      <c r="E59" t="s">
        <v>168</v>
      </c>
      <c r="F59" t="s">
        <v>25</v>
      </c>
      <c r="G59" t="s">
        <v>33</v>
      </c>
      <c r="H59" t="s">
        <v>34</v>
      </c>
      <c r="I59">
        <v>2</v>
      </c>
      <c r="J59">
        <v>34.93</v>
      </c>
      <c r="K59">
        <v>0.1</v>
      </c>
      <c r="L59">
        <v>62.87</v>
      </c>
      <c r="M59">
        <v>41.7</v>
      </c>
      <c r="N59">
        <v>56.03</v>
      </c>
      <c r="O59" s="3">
        <f>_xlfn.XLOOKUP(SalesData[[#This Row],[Product]],ProductLookup[Product],ProductLookup[Standard_Price],"Not Found")</f>
        <v>35</v>
      </c>
      <c r="P59" s="3">
        <f>SalesData[[#This Row],[Revenue]]-SalesData[[#This Row],[Cost]]</f>
        <v>21.169999999999995</v>
      </c>
      <c r="Q59" s="5">
        <f>IFERROR(SalesData[[#This Row],[Profit]]/SalesData[[#This Row],[Revenue]],0)</f>
        <v>0.33672657865436606</v>
      </c>
      <c r="R59" s="3">
        <f>SalesData[[#This Row],[Revenue]]-SalesData[[#This Row],[Target]]</f>
        <v>6.8399999999999963</v>
      </c>
      <c r="S59" s="3" t="str">
        <f t="shared" si="0"/>
        <v>Above Target</v>
      </c>
    </row>
    <row r="60" spans="1:19" ht="27.6">
      <c r="A60" t="s">
        <v>169</v>
      </c>
      <c r="B60" s="21">
        <v>45827</v>
      </c>
      <c r="C60" t="s">
        <v>22</v>
      </c>
      <c r="D60" t="s">
        <v>16</v>
      </c>
      <c r="E60" t="s">
        <v>170</v>
      </c>
      <c r="F60" t="s">
        <v>32</v>
      </c>
      <c r="G60" t="s">
        <v>26</v>
      </c>
      <c r="H60" t="s">
        <v>27</v>
      </c>
      <c r="I60">
        <v>11</v>
      </c>
      <c r="J60">
        <v>327.78</v>
      </c>
      <c r="K60">
        <v>0.03</v>
      </c>
      <c r="L60">
        <v>3497.41</v>
      </c>
      <c r="M60">
        <v>2576.38</v>
      </c>
      <c r="N60">
        <v>3189.73</v>
      </c>
      <c r="O60" s="3">
        <f>_xlfn.XLOOKUP(SalesData[[#This Row],[Product]],ProductLookup[Product],ProductLookup[Standard_Price],"Not Found")</f>
        <v>320</v>
      </c>
      <c r="P60" s="3">
        <f>SalesData[[#This Row],[Revenue]]-SalesData[[#This Row],[Cost]]</f>
        <v>921.02999999999975</v>
      </c>
      <c r="Q60" s="5">
        <f>IFERROR(SalesData[[#This Row],[Profit]]/SalesData[[#This Row],[Revenue]],0)</f>
        <v>0.26334630483700788</v>
      </c>
      <c r="R60" s="3">
        <f>SalesData[[#This Row],[Revenue]]-SalesData[[#This Row],[Target]]</f>
        <v>307.67999999999984</v>
      </c>
      <c r="S60" s="3" t="str">
        <f t="shared" si="0"/>
        <v>Above Target</v>
      </c>
    </row>
    <row r="61" spans="1:19" ht="13.8">
      <c r="A61" t="s">
        <v>171</v>
      </c>
      <c r="B61" s="21">
        <v>46002</v>
      </c>
      <c r="C61" t="s">
        <v>22</v>
      </c>
      <c r="D61" t="s">
        <v>68</v>
      </c>
      <c r="E61" t="s">
        <v>172</v>
      </c>
      <c r="F61" t="s">
        <v>18</v>
      </c>
      <c r="G61" t="s">
        <v>19</v>
      </c>
      <c r="H61" t="s">
        <v>37</v>
      </c>
      <c r="I61">
        <v>12</v>
      </c>
      <c r="J61">
        <v>1068.95</v>
      </c>
      <c r="K61">
        <v>0.05</v>
      </c>
      <c r="L61">
        <v>12186.03</v>
      </c>
      <c r="M61">
        <v>8091.38</v>
      </c>
      <c r="N61">
        <v>12234.39</v>
      </c>
      <c r="O61" s="3">
        <f>_xlfn.XLOOKUP(SalesData[[#This Row],[Product]],ProductLookup[Product],ProductLookup[Standard_Price],"Not Found")</f>
        <v>1100</v>
      </c>
      <c r="P61" s="3">
        <f>SalesData[[#This Row],[Revenue]]-SalesData[[#This Row],[Cost]]</f>
        <v>4094.6500000000005</v>
      </c>
      <c r="Q61" s="5">
        <f>IFERROR(SalesData[[#This Row],[Profit]]/SalesData[[#This Row],[Revenue]],0)</f>
        <v>0.33601181024501009</v>
      </c>
      <c r="R61" s="3">
        <f>SalesData[[#This Row],[Revenue]]-SalesData[[#This Row],[Target]]</f>
        <v>-48.359999999998763</v>
      </c>
      <c r="S61" s="3" t="str">
        <f t="shared" si="0"/>
        <v>Below Target</v>
      </c>
    </row>
    <row r="62" spans="1:19" ht="27.6">
      <c r="A62" t="s">
        <v>173</v>
      </c>
      <c r="B62" s="21">
        <v>45939</v>
      </c>
      <c r="C62" t="s">
        <v>22</v>
      </c>
      <c r="D62" t="s">
        <v>30</v>
      </c>
      <c r="E62" t="s">
        <v>85</v>
      </c>
      <c r="F62" t="s">
        <v>25</v>
      </c>
      <c r="G62" t="s">
        <v>26</v>
      </c>
      <c r="H62" t="s">
        <v>39</v>
      </c>
      <c r="I62">
        <v>5</v>
      </c>
      <c r="J62">
        <v>230.52</v>
      </c>
      <c r="K62">
        <v>0.05</v>
      </c>
      <c r="L62">
        <v>1094.97</v>
      </c>
      <c r="M62">
        <v>661.2</v>
      </c>
      <c r="N62">
        <v>1084.19</v>
      </c>
      <c r="O62" s="3">
        <f>_xlfn.XLOOKUP(SalesData[[#This Row],[Product]],ProductLookup[Product],ProductLookup[Standard_Price],"Not Found")</f>
        <v>220</v>
      </c>
      <c r="P62" s="3">
        <f>SalesData[[#This Row],[Revenue]]-SalesData[[#This Row],[Cost]]</f>
        <v>433.77</v>
      </c>
      <c r="Q62" s="5">
        <f>IFERROR(SalesData[[#This Row],[Profit]]/SalesData[[#This Row],[Revenue]],0)</f>
        <v>0.39614783966684014</v>
      </c>
      <c r="R62" s="3">
        <f>SalesData[[#This Row],[Revenue]]-SalesData[[#This Row],[Target]]</f>
        <v>10.779999999999973</v>
      </c>
      <c r="S62" s="3" t="str">
        <f t="shared" si="0"/>
        <v>Above Target</v>
      </c>
    </row>
    <row r="63" spans="1:19" ht="13.8">
      <c r="A63" t="s">
        <v>174</v>
      </c>
      <c r="B63" s="21">
        <v>45765</v>
      </c>
      <c r="C63" t="s">
        <v>29</v>
      </c>
      <c r="D63" t="s">
        <v>64</v>
      </c>
      <c r="E63" t="s">
        <v>89</v>
      </c>
      <c r="F63" t="s">
        <v>32</v>
      </c>
      <c r="G63" t="s">
        <v>19</v>
      </c>
      <c r="H63" t="s">
        <v>37</v>
      </c>
      <c r="I63">
        <v>10</v>
      </c>
      <c r="J63">
        <v>1054.93</v>
      </c>
      <c r="K63">
        <v>0.1</v>
      </c>
      <c r="L63">
        <v>9494.3700000000008</v>
      </c>
      <c r="M63">
        <v>6791.27</v>
      </c>
      <c r="N63">
        <v>10526.01</v>
      </c>
      <c r="O63" s="3">
        <f>_xlfn.XLOOKUP(SalesData[[#This Row],[Product]],ProductLookup[Product],ProductLookup[Standard_Price],"Not Found")</f>
        <v>1100</v>
      </c>
      <c r="P63" s="3">
        <f>SalesData[[#This Row],[Revenue]]-SalesData[[#This Row],[Cost]]</f>
        <v>2703.1000000000004</v>
      </c>
      <c r="Q63" s="5">
        <f>IFERROR(SalesData[[#This Row],[Profit]]/SalesData[[#This Row],[Revenue]],0)</f>
        <v>0.28470556761533417</v>
      </c>
      <c r="R63" s="3">
        <f>SalesData[[#This Row],[Revenue]]-SalesData[[#This Row],[Target]]</f>
        <v>-1031.6399999999994</v>
      </c>
      <c r="S63" s="3" t="str">
        <f t="shared" si="0"/>
        <v>Below Target</v>
      </c>
    </row>
    <row r="64" spans="1:19" ht="27.6">
      <c r="A64" t="s">
        <v>175</v>
      </c>
      <c r="B64" s="21">
        <v>45715</v>
      </c>
      <c r="C64" t="s">
        <v>22</v>
      </c>
      <c r="D64" t="s">
        <v>82</v>
      </c>
      <c r="E64" t="s">
        <v>176</v>
      </c>
      <c r="F64" t="s">
        <v>74</v>
      </c>
      <c r="G64" t="s">
        <v>45</v>
      </c>
      <c r="H64" t="s">
        <v>46</v>
      </c>
      <c r="I64">
        <v>6</v>
      </c>
      <c r="J64">
        <v>330.87</v>
      </c>
      <c r="K64">
        <v>0.05</v>
      </c>
      <c r="L64">
        <v>1885.96</v>
      </c>
      <c r="M64">
        <v>1295.08</v>
      </c>
      <c r="N64">
        <v>1731.64</v>
      </c>
      <c r="O64" s="3">
        <f>_xlfn.XLOOKUP(SalesData[[#This Row],[Product]],ProductLookup[Product],ProductLookup[Standard_Price],"Not Found")</f>
        <v>340</v>
      </c>
      <c r="P64" s="3">
        <f>SalesData[[#This Row],[Revenue]]-SalesData[[#This Row],[Cost]]</f>
        <v>590.88000000000011</v>
      </c>
      <c r="Q64" s="5">
        <f>IFERROR(SalesData[[#This Row],[Profit]]/SalesData[[#This Row],[Revenue]],0)</f>
        <v>0.31330463000275727</v>
      </c>
      <c r="R64" s="3">
        <f>SalesData[[#This Row],[Revenue]]-SalesData[[#This Row],[Target]]</f>
        <v>154.31999999999994</v>
      </c>
      <c r="S64" s="3" t="str">
        <f t="shared" si="0"/>
        <v>Above Target</v>
      </c>
    </row>
    <row r="65" spans="1:19" ht="13.8">
      <c r="A65" t="s">
        <v>177</v>
      </c>
      <c r="B65" s="21">
        <v>45812</v>
      </c>
      <c r="C65" t="s">
        <v>15</v>
      </c>
      <c r="D65" t="s">
        <v>30</v>
      </c>
      <c r="E65" t="s">
        <v>178</v>
      </c>
      <c r="F65" t="s">
        <v>32</v>
      </c>
      <c r="G65" t="s">
        <v>45</v>
      </c>
      <c r="H65" t="s">
        <v>46</v>
      </c>
      <c r="I65">
        <v>3</v>
      </c>
      <c r="J65">
        <v>337.15</v>
      </c>
      <c r="K65">
        <v>0.05</v>
      </c>
      <c r="L65">
        <v>960.88</v>
      </c>
      <c r="M65">
        <v>643.34</v>
      </c>
      <c r="N65">
        <v>1039.3399999999999</v>
      </c>
      <c r="O65" s="3">
        <f>_xlfn.XLOOKUP(SalesData[[#This Row],[Product]],ProductLookup[Product],ProductLookup[Standard_Price],"Not Found")</f>
        <v>340</v>
      </c>
      <c r="P65" s="3">
        <f>SalesData[[#This Row],[Revenue]]-SalesData[[#This Row],[Cost]]</f>
        <v>317.53999999999996</v>
      </c>
      <c r="Q65" s="5">
        <f>IFERROR(SalesData[[#This Row],[Profit]]/SalesData[[#This Row],[Revenue]],0)</f>
        <v>0.33046790442094742</v>
      </c>
      <c r="R65" s="3">
        <f>SalesData[[#This Row],[Revenue]]-SalesData[[#This Row],[Target]]</f>
        <v>-78.459999999999923</v>
      </c>
      <c r="S65" s="3" t="str">
        <f t="shared" si="0"/>
        <v>Below Target</v>
      </c>
    </row>
    <row r="66" spans="1:19" ht="27.6">
      <c r="A66" t="s">
        <v>179</v>
      </c>
      <c r="B66" s="21">
        <v>45861</v>
      </c>
      <c r="C66" t="s">
        <v>67</v>
      </c>
      <c r="D66" t="s">
        <v>16</v>
      </c>
      <c r="E66" t="s">
        <v>180</v>
      </c>
      <c r="F66" t="s">
        <v>74</v>
      </c>
      <c r="G66" t="s">
        <v>19</v>
      </c>
      <c r="H66" t="s">
        <v>37</v>
      </c>
      <c r="I66">
        <v>15</v>
      </c>
      <c r="J66">
        <v>1066.53</v>
      </c>
      <c r="K66">
        <v>0</v>
      </c>
      <c r="L66">
        <v>15997.95</v>
      </c>
      <c r="M66">
        <v>12771.88</v>
      </c>
      <c r="N66">
        <v>15191.01</v>
      </c>
      <c r="O66" s="3">
        <f>_xlfn.XLOOKUP(SalesData[[#This Row],[Product]],ProductLookup[Product],ProductLookup[Standard_Price],"Not Found")</f>
        <v>1100</v>
      </c>
      <c r="P66" s="3">
        <f>SalesData[[#This Row],[Revenue]]-SalesData[[#This Row],[Cost]]</f>
        <v>3226.0700000000015</v>
      </c>
      <c r="Q66" s="5">
        <f>IFERROR(SalesData[[#This Row],[Profit]]/SalesData[[#This Row],[Revenue]],0)</f>
        <v>0.20165521207404707</v>
      </c>
      <c r="R66" s="3">
        <f>SalesData[[#This Row],[Revenue]]-SalesData[[#This Row],[Target]]</f>
        <v>806.94000000000051</v>
      </c>
      <c r="S66" s="3" t="str">
        <f t="shared" ref="S66:S129" si="1">IF(R66&gt;=0,"Above Target","Below Target")</f>
        <v>Above Target</v>
      </c>
    </row>
    <row r="67" spans="1:19" ht="27.6">
      <c r="A67" t="s">
        <v>181</v>
      </c>
      <c r="B67" s="21">
        <v>45959</v>
      </c>
      <c r="C67" t="s">
        <v>15</v>
      </c>
      <c r="D67" t="s">
        <v>82</v>
      </c>
      <c r="E67" t="s">
        <v>182</v>
      </c>
      <c r="F67" t="s">
        <v>25</v>
      </c>
      <c r="G67" t="s">
        <v>19</v>
      </c>
      <c r="H67" t="s">
        <v>37</v>
      </c>
      <c r="I67">
        <v>6</v>
      </c>
      <c r="J67">
        <v>1146.8</v>
      </c>
      <c r="K67">
        <v>0.03</v>
      </c>
      <c r="L67">
        <v>6674.38</v>
      </c>
      <c r="M67">
        <v>5258.99</v>
      </c>
      <c r="N67">
        <v>6322.99</v>
      </c>
      <c r="O67" s="3">
        <f>_xlfn.XLOOKUP(SalesData[[#This Row],[Product]],ProductLookup[Product],ProductLookup[Standard_Price],"Not Found")</f>
        <v>1100</v>
      </c>
      <c r="P67" s="3">
        <f>SalesData[[#This Row],[Revenue]]-SalesData[[#This Row],[Cost]]</f>
        <v>1415.3900000000003</v>
      </c>
      <c r="Q67" s="5">
        <f>IFERROR(SalesData[[#This Row],[Profit]]/SalesData[[#This Row],[Revenue]],0)</f>
        <v>0.21206314294361428</v>
      </c>
      <c r="R67" s="3">
        <f>SalesData[[#This Row],[Revenue]]-SalesData[[#This Row],[Target]]</f>
        <v>351.39000000000033</v>
      </c>
      <c r="S67" s="3" t="str">
        <f t="shared" si="1"/>
        <v>Above Target</v>
      </c>
    </row>
    <row r="68" spans="1:19" ht="13.8">
      <c r="A68" t="s">
        <v>183</v>
      </c>
      <c r="B68" s="21">
        <v>45785</v>
      </c>
      <c r="C68" t="s">
        <v>22</v>
      </c>
      <c r="D68" t="s">
        <v>16</v>
      </c>
      <c r="E68" t="s">
        <v>184</v>
      </c>
      <c r="F68" t="s">
        <v>74</v>
      </c>
      <c r="G68" t="s">
        <v>26</v>
      </c>
      <c r="H68" t="s">
        <v>27</v>
      </c>
      <c r="I68">
        <v>7</v>
      </c>
      <c r="J68">
        <v>320.35000000000002</v>
      </c>
      <c r="K68">
        <v>0.02</v>
      </c>
      <c r="L68">
        <v>2197.6</v>
      </c>
      <c r="M68">
        <v>1692.37</v>
      </c>
      <c r="N68">
        <v>2347.9899999999998</v>
      </c>
      <c r="O68" s="3">
        <f>_xlfn.XLOOKUP(SalesData[[#This Row],[Product]],ProductLookup[Product],ProductLookup[Standard_Price],"Not Found")</f>
        <v>320</v>
      </c>
      <c r="P68" s="3">
        <f>SalesData[[#This Row],[Revenue]]-SalesData[[#This Row],[Cost]]</f>
        <v>505.23</v>
      </c>
      <c r="Q68" s="5">
        <f>IFERROR(SalesData[[#This Row],[Profit]]/SalesData[[#This Row],[Revenue]],0)</f>
        <v>0.22990080087368039</v>
      </c>
      <c r="R68" s="3">
        <f>SalesData[[#This Row],[Revenue]]-SalesData[[#This Row],[Target]]</f>
        <v>-150.38999999999987</v>
      </c>
      <c r="S68" s="3" t="str">
        <f t="shared" si="1"/>
        <v>Below Target</v>
      </c>
    </row>
    <row r="69" spans="1:19" ht="27.6">
      <c r="A69" t="s">
        <v>185</v>
      </c>
      <c r="B69" s="21">
        <v>45941</v>
      </c>
      <c r="C69" t="s">
        <v>29</v>
      </c>
      <c r="D69" t="s">
        <v>82</v>
      </c>
      <c r="E69" t="s">
        <v>186</v>
      </c>
      <c r="F69" t="s">
        <v>32</v>
      </c>
      <c r="G69" t="s">
        <v>33</v>
      </c>
      <c r="H69" t="s">
        <v>42</v>
      </c>
      <c r="I69">
        <v>4</v>
      </c>
      <c r="J69">
        <v>61.32</v>
      </c>
      <c r="K69">
        <v>0</v>
      </c>
      <c r="L69">
        <v>245.28</v>
      </c>
      <c r="M69">
        <v>197.54</v>
      </c>
      <c r="N69">
        <v>240.03</v>
      </c>
      <c r="O69" s="3">
        <f>_xlfn.XLOOKUP(SalesData[[#This Row],[Product]],ProductLookup[Product],ProductLookup[Standard_Price],"Not Found")</f>
        <v>60</v>
      </c>
      <c r="P69" s="3">
        <f>SalesData[[#This Row],[Revenue]]-SalesData[[#This Row],[Cost]]</f>
        <v>47.740000000000009</v>
      </c>
      <c r="Q69" s="5">
        <f>IFERROR(SalesData[[#This Row],[Profit]]/SalesData[[#This Row],[Revenue]],0)</f>
        <v>0.19463470319634707</v>
      </c>
      <c r="R69" s="3">
        <f>SalesData[[#This Row],[Revenue]]-SalesData[[#This Row],[Target]]</f>
        <v>5.25</v>
      </c>
      <c r="S69" s="3" t="str">
        <f t="shared" si="1"/>
        <v>Above Target</v>
      </c>
    </row>
    <row r="70" spans="1:19" ht="27.6">
      <c r="A70" t="s">
        <v>187</v>
      </c>
      <c r="B70" s="21">
        <v>45906</v>
      </c>
      <c r="C70" t="s">
        <v>67</v>
      </c>
      <c r="D70" t="s">
        <v>30</v>
      </c>
      <c r="E70" t="s">
        <v>188</v>
      </c>
      <c r="F70" t="s">
        <v>32</v>
      </c>
      <c r="G70" t="s">
        <v>19</v>
      </c>
      <c r="H70" t="s">
        <v>20</v>
      </c>
      <c r="I70">
        <v>15</v>
      </c>
      <c r="J70">
        <v>886.28</v>
      </c>
      <c r="K70">
        <v>0.02</v>
      </c>
      <c r="L70">
        <v>13028.32</v>
      </c>
      <c r="M70">
        <v>8306.44</v>
      </c>
      <c r="N70">
        <v>12762.13</v>
      </c>
      <c r="O70" s="3">
        <f>_xlfn.XLOOKUP(SalesData[[#This Row],[Product]],ProductLookup[Product],ProductLookup[Standard_Price],"Not Found")</f>
        <v>850</v>
      </c>
      <c r="P70" s="3">
        <f>SalesData[[#This Row],[Revenue]]-SalesData[[#This Row],[Cost]]</f>
        <v>4721.8799999999992</v>
      </c>
      <c r="Q70" s="5">
        <f>IFERROR(SalesData[[#This Row],[Profit]]/SalesData[[#This Row],[Revenue]],0)</f>
        <v>0.36243199430164436</v>
      </c>
      <c r="R70" s="3">
        <f>SalesData[[#This Row],[Revenue]]-SalesData[[#This Row],[Target]]</f>
        <v>266.19000000000051</v>
      </c>
      <c r="S70" s="3" t="str">
        <f t="shared" si="1"/>
        <v>Above Target</v>
      </c>
    </row>
    <row r="71" spans="1:19" ht="27.6">
      <c r="A71" t="s">
        <v>189</v>
      </c>
      <c r="B71" s="21">
        <v>45865</v>
      </c>
      <c r="C71" t="s">
        <v>29</v>
      </c>
      <c r="D71" t="s">
        <v>16</v>
      </c>
      <c r="E71" t="s">
        <v>190</v>
      </c>
      <c r="F71" t="s">
        <v>74</v>
      </c>
      <c r="G71" t="s">
        <v>45</v>
      </c>
      <c r="H71" t="s">
        <v>44</v>
      </c>
      <c r="I71">
        <v>4</v>
      </c>
      <c r="J71">
        <v>254.82</v>
      </c>
      <c r="K71">
        <v>0.08</v>
      </c>
      <c r="L71">
        <v>937.74</v>
      </c>
      <c r="M71">
        <v>700.63</v>
      </c>
      <c r="N71">
        <v>852.16</v>
      </c>
      <c r="O71" s="3">
        <f>_xlfn.XLOOKUP(SalesData[[#This Row],[Product]],ProductLookup[Product],ProductLookup[Standard_Price],"Not Found")</f>
        <v>260</v>
      </c>
      <c r="P71" s="3">
        <f>SalesData[[#This Row],[Revenue]]-SalesData[[#This Row],[Cost]]</f>
        <v>237.11</v>
      </c>
      <c r="Q71" s="5">
        <f>IFERROR(SalesData[[#This Row],[Profit]]/SalesData[[#This Row],[Revenue]],0)</f>
        <v>0.25285260306694823</v>
      </c>
      <c r="R71" s="3">
        <f>SalesData[[#This Row],[Revenue]]-SalesData[[#This Row],[Target]]</f>
        <v>85.580000000000041</v>
      </c>
      <c r="S71" s="3" t="str">
        <f t="shared" si="1"/>
        <v>Above Target</v>
      </c>
    </row>
    <row r="72" spans="1:19" ht="13.8">
      <c r="A72" t="s">
        <v>191</v>
      </c>
      <c r="B72" s="21">
        <v>45939</v>
      </c>
      <c r="C72" t="s">
        <v>29</v>
      </c>
      <c r="D72" t="s">
        <v>16</v>
      </c>
      <c r="E72" t="s">
        <v>192</v>
      </c>
      <c r="F72" t="s">
        <v>32</v>
      </c>
      <c r="G72" t="s">
        <v>26</v>
      </c>
      <c r="H72" t="s">
        <v>39</v>
      </c>
      <c r="I72">
        <v>8</v>
      </c>
      <c r="J72">
        <v>228.94</v>
      </c>
      <c r="K72">
        <v>0.05</v>
      </c>
      <c r="L72">
        <v>1739.94</v>
      </c>
      <c r="M72">
        <v>1207.58</v>
      </c>
      <c r="N72">
        <v>1759.89</v>
      </c>
      <c r="O72" s="3">
        <f>_xlfn.XLOOKUP(SalesData[[#This Row],[Product]],ProductLookup[Product],ProductLookup[Standard_Price],"Not Found")</f>
        <v>220</v>
      </c>
      <c r="P72" s="3">
        <f>SalesData[[#This Row],[Revenue]]-SalesData[[#This Row],[Cost]]</f>
        <v>532.36000000000013</v>
      </c>
      <c r="Q72" s="5">
        <f>IFERROR(SalesData[[#This Row],[Profit]]/SalesData[[#This Row],[Revenue]],0)</f>
        <v>0.30596457349104</v>
      </c>
      <c r="R72" s="3">
        <f>SalesData[[#This Row],[Revenue]]-SalesData[[#This Row],[Target]]</f>
        <v>-19.950000000000045</v>
      </c>
      <c r="S72" s="3" t="str">
        <f t="shared" si="1"/>
        <v>Below Target</v>
      </c>
    </row>
    <row r="73" spans="1:19" ht="27.6">
      <c r="A73" t="s">
        <v>193</v>
      </c>
      <c r="B73" s="21">
        <v>45942</v>
      </c>
      <c r="C73" t="s">
        <v>15</v>
      </c>
      <c r="D73" t="s">
        <v>82</v>
      </c>
      <c r="E73" t="s">
        <v>186</v>
      </c>
      <c r="F73" t="s">
        <v>74</v>
      </c>
      <c r="G73" t="s">
        <v>19</v>
      </c>
      <c r="H73" t="s">
        <v>37</v>
      </c>
      <c r="I73">
        <v>6</v>
      </c>
      <c r="J73">
        <v>1071.3</v>
      </c>
      <c r="K73">
        <v>0.03</v>
      </c>
      <c r="L73">
        <v>6234.97</v>
      </c>
      <c r="M73">
        <v>4851.17</v>
      </c>
      <c r="N73">
        <v>5789.26</v>
      </c>
      <c r="O73" s="3">
        <f>_xlfn.XLOOKUP(SalesData[[#This Row],[Product]],ProductLookup[Product],ProductLookup[Standard_Price],"Not Found")</f>
        <v>1100</v>
      </c>
      <c r="P73" s="3">
        <f>SalesData[[#This Row],[Revenue]]-SalesData[[#This Row],[Cost]]</f>
        <v>1383.8000000000002</v>
      </c>
      <c r="Q73" s="5">
        <f>IFERROR(SalesData[[#This Row],[Profit]]/SalesData[[#This Row],[Revenue]],0)</f>
        <v>0.22194172546138957</v>
      </c>
      <c r="R73" s="3">
        <f>SalesData[[#This Row],[Revenue]]-SalesData[[#This Row],[Target]]</f>
        <v>445.71000000000004</v>
      </c>
      <c r="S73" s="3" t="str">
        <f t="shared" si="1"/>
        <v>Above Target</v>
      </c>
    </row>
    <row r="74" spans="1:19" ht="13.8">
      <c r="A74" t="s">
        <v>194</v>
      </c>
      <c r="B74" s="21">
        <v>45854</v>
      </c>
      <c r="C74" t="s">
        <v>22</v>
      </c>
      <c r="D74" t="s">
        <v>30</v>
      </c>
      <c r="E74" t="s">
        <v>195</v>
      </c>
      <c r="F74" t="s">
        <v>32</v>
      </c>
      <c r="G74" t="s">
        <v>33</v>
      </c>
      <c r="H74" t="s">
        <v>34</v>
      </c>
      <c r="I74">
        <v>12</v>
      </c>
      <c r="J74">
        <v>35.08</v>
      </c>
      <c r="K74">
        <v>0.05</v>
      </c>
      <c r="L74">
        <v>399.91</v>
      </c>
      <c r="M74">
        <v>263.72000000000003</v>
      </c>
      <c r="N74">
        <v>424.11</v>
      </c>
      <c r="O74" s="3">
        <f>_xlfn.XLOOKUP(SalesData[[#This Row],[Product]],ProductLookup[Product],ProductLookup[Standard_Price],"Not Found")</f>
        <v>35</v>
      </c>
      <c r="P74" s="3">
        <f>SalesData[[#This Row],[Revenue]]-SalesData[[#This Row],[Cost]]</f>
        <v>136.19</v>
      </c>
      <c r="Q74" s="5">
        <f>IFERROR(SalesData[[#This Row],[Profit]]/SalesData[[#This Row],[Revenue]],0)</f>
        <v>0.34055162411542594</v>
      </c>
      <c r="R74" s="3">
        <f>SalesData[[#This Row],[Revenue]]-SalesData[[#This Row],[Target]]</f>
        <v>-24.199999999999989</v>
      </c>
      <c r="S74" s="3" t="str">
        <f t="shared" si="1"/>
        <v>Below Target</v>
      </c>
    </row>
    <row r="75" spans="1:19" ht="13.8">
      <c r="A75" t="s">
        <v>196</v>
      </c>
      <c r="B75" s="21">
        <v>45722</v>
      </c>
      <c r="C75" t="s">
        <v>22</v>
      </c>
      <c r="D75" t="s">
        <v>68</v>
      </c>
      <c r="E75" t="s">
        <v>197</v>
      </c>
      <c r="F75" t="s">
        <v>74</v>
      </c>
      <c r="G75" t="s">
        <v>45</v>
      </c>
      <c r="H75" t="s">
        <v>44</v>
      </c>
      <c r="I75">
        <v>9</v>
      </c>
      <c r="J75">
        <v>260.76</v>
      </c>
      <c r="K75">
        <v>0.02</v>
      </c>
      <c r="L75">
        <v>2299.9</v>
      </c>
      <c r="M75">
        <v>1426.79</v>
      </c>
      <c r="N75">
        <v>2518.92</v>
      </c>
      <c r="O75" s="3">
        <f>_xlfn.XLOOKUP(SalesData[[#This Row],[Product]],ProductLookup[Product],ProductLookup[Standard_Price],"Not Found")</f>
        <v>260</v>
      </c>
      <c r="P75" s="3">
        <f>SalesData[[#This Row],[Revenue]]-SalesData[[#This Row],[Cost]]</f>
        <v>873.11000000000013</v>
      </c>
      <c r="Q75" s="5">
        <f>IFERROR(SalesData[[#This Row],[Profit]]/SalesData[[#This Row],[Revenue]],0)</f>
        <v>0.37962954911083097</v>
      </c>
      <c r="R75" s="3">
        <f>SalesData[[#This Row],[Revenue]]-SalesData[[#This Row],[Target]]</f>
        <v>-219.01999999999998</v>
      </c>
      <c r="S75" s="3" t="str">
        <f t="shared" si="1"/>
        <v>Below Target</v>
      </c>
    </row>
    <row r="76" spans="1:19" ht="27.6">
      <c r="A76" t="s">
        <v>198</v>
      </c>
      <c r="B76" s="21">
        <v>45879</v>
      </c>
      <c r="C76" t="s">
        <v>22</v>
      </c>
      <c r="D76" t="s">
        <v>64</v>
      </c>
      <c r="E76" t="s">
        <v>170</v>
      </c>
      <c r="F76" t="s">
        <v>18</v>
      </c>
      <c r="G76" t="s">
        <v>26</v>
      </c>
      <c r="H76" t="s">
        <v>27</v>
      </c>
      <c r="I76">
        <v>14</v>
      </c>
      <c r="J76">
        <v>330.06</v>
      </c>
      <c r="K76">
        <v>0</v>
      </c>
      <c r="L76">
        <v>4620.84</v>
      </c>
      <c r="M76">
        <v>2901.86</v>
      </c>
      <c r="N76">
        <v>4537.8900000000003</v>
      </c>
      <c r="O76" s="3">
        <f>_xlfn.XLOOKUP(SalesData[[#This Row],[Product]],ProductLookup[Product],ProductLookup[Standard_Price],"Not Found")</f>
        <v>320</v>
      </c>
      <c r="P76" s="3">
        <f>SalesData[[#This Row],[Revenue]]-SalesData[[#This Row],[Cost]]</f>
        <v>1718.98</v>
      </c>
      <c r="Q76" s="5">
        <f>IFERROR(SalesData[[#This Row],[Profit]]/SalesData[[#This Row],[Revenue]],0)</f>
        <v>0.37200595562711541</v>
      </c>
      <c r="R76" s="3">
        <f>SalesData[[#This Row],[Revenue]]-SalesData[[#This Row],[Target]]</f>
        <v>82.949999999999818</v>
      </c>
      <c r="S76" s="3" t="str">
        <f t="shared" si="1"/>
        <v>Above Target</v>
      </c>
    </row>
    <row r="77" spans="1:19" ht="13.8">
      <c r="A77" t="s">
        <v>199</v>
      </c>
      <c r="B77" s="21">
        <v>45695</v>
      </c>
      <c r="C77" t="s">
        <v>29</v>
      </c>
      <c r="D77" t="s">
        <v>16</v>
      </c>
      <c r="E77" t="s">
        <v>106</v>
      </c>
      <c r="F77" t="s">
        <v>25</v>
      </c>
      <c r="G77" t="s">
        <v>33</v>
      </c>
      <c r="H77" t="s">
        <v>34</v>
      </c>
      <c r="I77">
        <v>15</v>
      </c>
      <c r="J77">
        <v>36.49</v>
      </c>
      <c r="K77">
        <v>0.08</v>
      </c>
      <c r="L77">
        <v>503.56</v>
      </c>
      <c r="M77">
        <v>396.91</v>
      </c>
      <c r="N77">
        <v>560.63</v>
      </c>
      <c r="O77" s="3">
        <f>_xlfn.XLOOKUP(SalesData[[#This Row],[Product]],ProductLookup[Product],ProductLookup[Standard_Price],"Not Found")</f>
        <v>35</v>
      </c>
      <c r="P77" s="3">
        <f>SalesData[[#This Row],[Revenue]]-SalesData[[#This Row],[Cost]]</f>
        <v>106.64999999999998</v>
      </c>
      <c r="Q77" s="5">
        <f>IFERROR(SalesData[[#This Row],[Profit]]/SalesData[[#This Row],[Revenue]],0)</f>
        <v>0.21179204067042651</v>
      </c>
      <c r="R77" s="3">
        <f>SalesData[[#This Row],[Revenue]]-SalesData[[#This Row],[Target]]</f>
        <v>-57.069999999999993</v>
      </c>
      <c r="S77" s="3" t="str">
        <f t="shared" si="1"/>
        <v>Below Target</v>
      </c>
    </row>
    <row r="78" spans="1:19" ht="13.8">
      <c r="A78" t="s">
        <v>200</v>
      </c>
      <c r="B78" s="21">
        <v>45735</v>
      </c>
      <c r="C78" t="s">
        <v>22</v>
      </c>
      <c r="D78" t="s">
        <v>16</v>
      </c>
      <c r="E78" t="s">
        <v>141</v>
      </c>
      <c r="F78" t="s">
        <v>18</v>
      </c>
      <c r="G78" t="s">
        <v>33</v>
      </c>
      <c r="H78" t="s">
        <v>42</v>
      </c>
      <c r="I78">
        <v>11</v>
      </c>
      <c r="J78">
        <v>57.65</v>
      </c>
      <c r="K78">
        <v>0.1</v>
      </c>
      <c r="L78">
        <v>570.74</v>
      </c>
      <c r="M78">
        <v>430.46</v>
      </c>
      <c r="N78">
        <v>618.20000000000005</v>
      </c>
      <c r="O78" s="3">
        <f>_xlfn.XLOOKUP(SalesData[[#This Row],[Product]],ProductLookup[Product],ProductLookup[Standard_Price],"Not Found")</f>
        <v>60</v>
      </c>
      <c r="P78" s="3">
        <f>SalesData[[#This Row],[Revenue]]-SalesData[[#This Row],[Cost]]</f>
        <v>140.28000000000003</v>
      </c>
      <c r="Q78" s="5">
        <f>IFERROR(SalesData[[#This Row],[Profit]]/SalesData[[#This Row],[Revenue]],0)</f>
        <v>0.24578617233766695</v>
      </c>
      <c r="R78" s="3">
        <f>SalesData[[#This Row],[Revenue]]-SalesData[[#This Row],[Target]]</f>
        <v>-47.460000000000036</v>
      </c>
      <c r="S78" s="3" t="str">
        <f t="shared" si="1"/>
        <v>Below Target</v>
      </c>
    </row>
    <row r="79" spans="1:19" ht="27.6">
      <c r="A79" t="s">
        <v>201</v>
      </c>
      <c r="B79" s="21">
        <v>45658</v>
      </c>
      <c r="C79" t="s">
        <v>29</v>
      </c>
      <c r="D79" t="s">
        <v>82</v>
      </c>
      <c r="E79" t="s">
        <v>188</v>
      </c>
      <c r="F79" t="s">
        <v>74</v>
      </c>
      <c r="G79" t="s">
        <v>45</v>
      </c>
      <c r="H79" t="s">
        <v>47</v>
      </c>
      <c r="I79">
        <v>3</v>
      </c>
      <c r="J79">
        <v>408.77</v>
      </c>
      <c r="K79">
        <v>0</v>
      </c>
      <c r="L79">
        <v>1226.31</v>
      </c>
      <c r="M79">
        <v>909.94</v>
      </c>
      <c r="N79">
        <v>1168.56</v>
      </c>
      <c r="O79" s="3">
        <f>_xlfn.XLOOKUP(SalesData[[#This Row],[Product]],ProductLookup[Product],ProductLookup[Standard_Price],"Not Found")</f>
        <v>420</v>
      </c>
      <c r="P79" s="3">
        <f>SalesData[[#This Row],[Revenue]]-SalesData[[#This Row],[Cost]]</f>
        <v>316.36999999999989</v>
      </c>
      <c r="Q79" s="5">
        <f>IFERROR(SalesData[[#This Row],[Profit]]/SalesData[[#This Row],[Revenue]],0)</f>
        <v>0.25798533812820568</v>
      </c>
      <c r="R79" s="3">
        <f>SalesData[[#This Row],[Revenue]]-SalesData[[#This Row],[Target]]</f>
        <v>57.75</v>
      </c>
      <c r="S79" s="3" t="str">
        <f t="shared" si="1"/>
        <v>Above Target</v>
      </c>
    </row>
    <row r="80" spans="1:19" ht="13.8">
      <c r="A80" t="s">
        <v>202</v>
      </c>
      <c r="B80" s="21">
        <v>46015</v>
      </c>
      <c r="C80" t="s">
        <v>22</v>
      </c>
      <c r="D80" t="s">
        <v>30</v>
      </c>
      <c r="E80" t="s">
        <v>106</v>
      </c>
      <c r="F80" t="s">
        <v>18</v>
      </c>
      <c r="G80" t="s">
        <v>45</v>
      </c>
      <c r="H80" t="s">
        <v>47</v>
      </c>
      <c r="I80">
        <v>2</v>
      </c>
      <c r="J80">
        <v>403.18</v>
      </c>
      <c r="K80">
        <v>0.03</v>
      </c>
      <c r="L80">
        <v>782.17</v>
      </c>
      <c r="M80">
        <v>559.54999999999995</v>
      </c>
      <c r="N80">
        <v>797.73</v>
      </c>
      <c r="O80" s="3">
        <f>_xlfn.XLOOKUP(SalesData[[#This Row],[Product]],ProductLookup[Product],ProductLookup[Standard_Price],"Not Found")</f>
        <v>420</v>
      </c>
      <c r="P80" s="3">
        <f>SalesData[[#This Row],[Revenue]]-SalesData[[#This Row],[Cost]]</f>
        <v>222.62</v>
      </c>
      <c r="Q80" s="5">
        <f>IFERROR(SalesData[[#This Row],[Profit]]/SalesData[[#This Row],[Revenue]],0)</f>
        <v>0.28461843333290721</v>
      </c>
      <c r="R80" s="3">
        <f>SalesData[[#This Row],[Revenue]]-SalesData[[#This Row],[Target]]</f>
        <v>-15.560000000000059</v>
      </c>
      <c r="S80" s="3" t="str">
        <f t="shared" si="1"/>
        <v>Below Target</v>
      </c>
    </row>
    <row r="81" spans="1:19" ht="13.8">
      <c r="A81" t="s">
        <v>203</v>
      </c>
      <c r="B81" s="21">
        <v>45663</v>
      </c>
      <c r="C81" t="s">
        <v>29</v>
      </c>
      <c r="D81" t="s">
        <v>68</v>
      </c>
      <c r="E81" t="s">
        <v>164</v>
      </c>
      <c r="F81" t="s">
        <v>25</v>
      </c>
      <c r="G81" t="s">
        <v>33</v>
      </c>
      <c r="H81" t="s">
        <v>42</v>
      </c>
      <c r="I81">
        <v>5</v>
      </c>
      <c r="J81">
        <v>62.98</v>
      </c>
      <c r="K81">
        <v>0.03</v>
      </c>
      <c r="L81">
        <v>305.45</v>
      </c>
      <c r="M81">
        <v>247.71</v>
      </c>
      <c r="N81">
        <v>316.05</v>
      </c>
      <c r="O81" s="3">
        <f>_xlfn.XLOOKUP(SalesData[[#This Row],[Product]],ProductLookup[Product],ProductLookup[Standard_Price],"Not Found")</f>
        <v>60</v>
      </c>
      <c r="P81" s="3">
        <f>SalesData[[#This Row],[Revenue]]-SalesData[[#This Row],[Cost]]</f>
        <v>57.739999999999981</v>
      </c>
      <c r="Q81" s="5">
        <f>IFERROR(SalesData[[#This Row],[Profit]]/SalesData[[#This Row],[Revenue]],0)</f>
        <v>0.18903257488950723</v>
      </c>
      <c r="R81" s="3">
        <f>SalesData[[#This Row],[Revenue]]-SalesData[[#This Row],[Target]]</f>
        <v>-10.600000000000023</v>
      </c>
      <c r="S81" s="3" t="str">
        <f t="shared" si="1"/>
        <v>Below Target</v>
      </c>
    </row>
    <row r="82" spans="1:19" ht="27.6">
      <c r="A82" t="s">
        <v>204</v>
      </c>
      <c r="B82" s="21">
        <v>45938</v>
      </c>
      <c r="C82" t="s">
        <v>29</v>
      </c>
      <c r="D82" t="s">
        <v>68</v>
      </c>
      <c r="E82" t="s">
        <v>124</v>
      </c>
      <c r="F82" t="s">
        <v>74</v>
      </c>
      <c r="G82" t="s">
        <v>26</v>
      </c>
      <c r="H82" t="s">
        <v>39</v>
      </c>
      <c r="I82">
        <v>1</v>
      </c>
      <c r="J82">
        <v>230.13</v>
      </c>
      <c r="K82">
        <v>0.1</v>
      </c>
      <c r="L82">
        <v>207.12</v>
      </c>
      <c r="M82">
        <v>153.87</v>
      </c>
      <c r="N82">
        <v>185.01</v>
      </c>
      <c r="O82" s="3">
        <f>_xlfn.XLOOKUP(SalesData[[#This Row],[Product]],ProductLookup[Product],ProductLookup[Standard_Price],"Not Found")</f>
        <v>220</v>
      </c>
      <c r="P82" s="3">
        <f>SalesData[[#This Row],[Revenue]]-SalesData[[#This Row],[Cost]]</f>
        <v>53.25</v>
      </c>
      <c r="Q82" s="5">
        <f>IFERROR(SalesData[[#This Row],[Profit]]/SalesData[[#This Row],[Revenue]],0)</f>
        <v>0.25709733487833142</v>
      </c>
      <c r="R82" s="3">
        <f>SalesData[[#This Row],[Revenue]]-SalesData[[#This Row],[Target]]</f>
        <v>22.110000000000014</v>
      </c>
      <c r="S82" s="3" t="str">
        <f t="shared" si="1"/>
        <v>Above Target</v>
      </c>
    </row>
    <row r="83" spans="1:19" ht="27.6">
      <c r="A83" t="s">
        <v>205</v>
      </c>
      <c r="B83" s="21">
        <v>45699</v>
      </c>
      <c r="C83" t="s">
        <v>67</v>
      </c>
      <c r="D83" t="s">
        <v>82</v>
      </c>
      <c r="E83" t="s">
        <v>131</v>
      </c>
      <c r="F83" t="s">
        <v>32</v>
      </c>
      <c r="G83" t="s">
        <v>26</v>
      </c>
      <c r="H83" t="s">
        <v>27</v>
      </c>
      <c r="I83">
        <v>4</v>
      </c>
      <c r="J83">
        <v>325.36</v>
      </c>
      <c r="K83">
        <v>0.03</v>
      </c>
      <c r="L83">
        <v>1262.4000000000001</v>
      </c>
      <c r="M83">
        <v>820.42</v>
      </c>
      <c r="N83">
        <v>1121.24</v>
      </c>
      <c r="O83" s="3">
        <f>_xlfn.XLOOKUP(SalesData[[#This Row],[Product]],ProductLookup[Product],ProductLookup[Standard_Price],"Not Found")</f>
        <v>320</v>
      </c>
      <c r="P83" s="3">
        <f>SalesData[[#This Row],[Revenue]]-SalesData[[#This Row],[Cost]]</f>
        <v>441.98000000000013</v>
      </c>
      <c r="Q83" s="5">
        <f>IFERROR(SalesData[[#This Row],[Profit]]/SalesData[[#This Row],[Revenue]],0)</f>
        <v>0.35011089987325739</v>
      </c>
      <c r="R83" s="3">
        <f>SalesData[[#This Row],[Revenue]]-SalesData[[#This Row],[Target]]</f>
        <v>141.16000000000008</v>
      </c>
      <c r="S83" s="3" t="str">
        <f t="shared" si="1"/>
        <v>Above Target</v>
      </c>
    </row>
    <row r="84" spans="1:19" ht="13.8">
      <c r="A84" t="s">
        <v>206</v>
      </c>
      <c r="B84" s="21">
        <v>46007</v>
      </c>
      <c r="C84" t="s">
        <v>29</v>
      </c>
      <c r="D84" t="s">
        <v>68</v>
      </c>
      <c r="E84" t="s">
        <v>207</v>
      </c>
      <c r="F84" t="s">
        <v>32</v>
      </c>
      <c r="G84" t="s">
        <v>33</v>
      </c>
      <c r="H84" t="s">
        <v>34</v>
      </c>
      <c r="I84">
        <v>4</v>
      </c>
      <c r="J84">
        <v>33.270000000000003</v>
      </c>
      <c r="K84">
        <v>0.03</v>
      </c>
      <c r="L84">
        <v>129.09</v>
      </c>
      <c r="M84">
        <v>98.45</v>
      </c>
      <c r="N84">
        <v>129.24</v>
      </c>
      <c r="O84" s="3">
        <f>_xlfn.XLOOKUP(SalesData[[#This Row],[Product]],ProductLookup[Product],ProductLookup[Standard_Price],"Not Found")</f>
        <v>35</v>
      </c>
      <c r="P84" s="3">
        <f>SalesData[[#This Row],[Revenue]]-SalesData[[#This Row],[Cost]]</f>
        <v>30.64</v>
      </c>
      <c r="Q84" s="5">
        <f>IFERROR(SalesData[[#This Row],[Profit]]/SalesData[[#This Row],[Revenue]],0)</f>
        <v>0.23735378418157874</v>
      </c>
      <c r="R84" s="3">
        <f>SalesData[[#This Row],[Revenue]]-SalesData[[#This Row],[Target]]</f>
        <v>-0.15000000000000568</v>
      </c>
      <c r="S84" s="3" t="str">
        <f t="shared" si="1"/>
        <v>Below Target</v>
      </c>
    </row>
    <row r="85" spans="1:19" ht="13.8">
      <c r="A85" t="s">
        <v>208</v>
      </c>
      <c r="B85" s="21">
        <v>45757</v>
      </c>
      <c r="C85" t="s">
        <v>29</v>
      </c>
      <c r="D85" t="s">
        <v>23</v>
      </c>
      <c r="E85" t="s">
        <v>170</v>
      </c>
      <c r="F85" t="s">
        <v>74</v>
      </c>
      <c r="G85" t="s">
        <v>26</v>
      </c>
      <c r="H85" t="s">
        <v>39</v>
      </c>
      <c r="I85">
        <v>8</v>
      </c>
      <c r="J85">
        <v>213.87</v>
      </c>
      <c r="K85">
        <v>0.03</v>
      </c>
      <c r="L85">
        <v>1659.63</v>
      </c>
      <c r="M85">
        <v>1035.58</v>
      </c>
      <c r="N85">
        <v>1708.86</v>
      </c>
      <c r="O85" s="3">
        <f>_xlfn.XLOOKUP(SalesData[[#This Row],[Product]],ProductLookup[Product],ProductLookup[Standard_Price],"Not Found")</f>
        <v>220</v>
      </c>
      <c r="P85" s="3">
        <f>SalesData[[#This Row],[Revenue]]-SalesData[[#This Row],[Cost]]</f>
        <v>624.05000000000018</v>
      </c>
      <c r="Q85" s="5">
        <f>IFERROR(SalesData[[#This Row],[Profit]]/SalesData[[#This Row],[Revenue]],0)</f>
        <v>0.37601754607954796</v>
      </c>
      <c r="R85" s="3">
        <f>SalesData[[#This Row],[Revenue]]-SalesData[[#This Row],[Target]]</f>
        <v>-49.229999999999791</v>
      </c>
      <c r="S85" s="3" t="str">
        <f t="shared" si="1"/>
        <v>Below Target</v>
      </c>
    </row>
    <row r="86" spans="1:19" ht="27.6">
      <c r="A86" t="s">
        <v>209</v>
      </c>
      <c r="B86" s="21">
        <v>45998</v>
      </c>
      <c r="C86" t="s">
        <v>29</v>
      </c>
      <c r="D86" t="s">
        <v>68</v>
      </c>
      <c r="E86" t="s">
        <v>143</v>
      </c>
      <c r="F86" t="s">
        <v>18</v>
      </c>
      <c r="G86" t="s">
        <v>19</v>
      </c>
      <c r="H86" t="s">
        <v>20</v>
      </c>
      <c r="I86">
        <v>10</v>
      </c>
      <c r="J86">
        <v>819.94</v>
      </c>
      <c r="K86">
        <v>0.05</v>
      </c>
      <c r="L86">
        <v>7789.43</v>
      </c>
      <c r="M86">
        <v>4766.8100000000004</v>
      </c>
      <c r="N86">
        <v>6898.87</v>
      </c>
      <c r="O86" s="3">
        <f>_xlfn.XLOOKUP(SalesData[[#This Row],[Product]],ProductLookup[Product],ProductLookup[Standard_Price],"Not Found")</f>
        <v>850</v>
      </c>
      <c r="P86" s="3">
        <f>SalesData[[#This Row],[Revenue]]-SalesData[[#This Row],[Cost]]</f>
        <v>3022.62</v>
      </c>
      <c r="Q86" s="5">
        <f>IFERROR(SalesData[[#This Row],[Profit]]/SalesData[[#This Row],[Revenue]],0)</f>
        <v>0.38804123023122356</v>
      </c>
      <c r="R86" s="3">
        <f>SalesData[[#This Row],[Revenue]]-SalesData[[#This Row],[Target]]</f>
        <v>890.5600000000004</v>
      </c>
      <c r="S86" s="3" t="str">
        <f t="shared" si="1"/>
        <v>Above Target</v>
      </c>
    </row>
    <row r="87" spans="1:19" ht="13.8">
      <c r="A87" t="s">
        <v>210</v>
      </c>
      <c r="B87" s="21">
        <v>45752</v>
      </c>
      <c r="C87" t="s">
        <v>29</v>
      </c>
      <c r="D87" t="s">
        <v>30</v>
      </c>
      <c r="E87" t="s">
        <v>211</v>
      </c>
      <c r="F87" t="s">
        <v>25</v>
      </c>
      <c r="G87" t="s">
        <v>33</v>
      </c>
      <c r="H87" t="s">
        <v>34</v>
      </c>
      <c r="I87">
        <v>8</v>
      </c>
      <c r="J87">
        <v>36.39</v>
      </c>
      <c r="K87">
        <v>0.03</v>
      </c>
      <c r="L87">
        <v>282.39</v>
      </c>
      <c r="M87">
        <v>214.96</v>
      </c>
      <c r="N87">
        <v>316.11</v>
      </c>
      <c r="O87" s="3">
        <f>_xlfn.XLOOKUP(SalesData[[#This Row],[Product]],ProductLookup[Product],ProductLookup[Standard_Price],"Not Found")</f>
        <v>35</v>
      </c>
      <c r="P87" s="3">
        <f>SalesData[[#This Row],[Revenue]]-SalesData[[#This Row],[Cost]]</f>
        <v>67.429999999999978</v>
      </c>
      <c r="Q87" s="5">
        <f>IFERROR(SalesData[[#This Row],[Profit]]/SalesData[[#This Row],[Revenue]],0)</f>
        <v>0.23878324303268522</v>
      </c>
      <c r="R87" s="3">
        <f>SalesData[[#This Row],[Revenue]]-SalesData[[#This Row],[Target]]</f>
        <v>-33.720000000000027</v>
      </c>
      <c r="S87" s="3" t="str">
        <f t="shared" si="1"/>
        <v>Below Target</v>
      </c>
    </row>
    <row r="88" spans="1:19" ht="27.6">
      <c r="A88" t="s">
        <v>212</v>
      </c>
      <c r="B88" s="21">
        <v>45992</v>
      </c>
      <c r="C88" t="s">
        <v>67</v>
      </c>
      <c r="D88" t="s">
        <v>30</v>
      </c>
      <c r="E88" t="s">
        <v>213</v>
      </c>
      <c r="F88" t="s">
        <v>25</v>
      </c>
      <c r="G88" t="s">
        <v>33</v>
      </c>
      <c r="H88" t="s">
        <v>42</v>
      </c>
      <c r="I88">
        <v>12</v>
      </c>
      <c r="J88">
        <v>59.81</v>
      </c>
      <c r="K88">
        <v>0.03</v>
      </c>
      <c r="L88">
        <v>696.19</v>
      </c>
      <c r="M88">
        <v>519.48</v>
      </c>
      <c r="N88">
        <v>675.91</v>
      </c>
      <c r="O88" s="3">
        <f>_xlfn.XLOOKUP(SalesData[[#This Row],[Product]],ProductLookup[Product],ProductLookup[Standard_Price],"Not Found")</f>
        <v>60</v>
      </c>
      <c r="P88" s="3">
        <f>SalesData[[#This Row],[Revenue]]-SalesData[[#This Row],[Cost]]</f>
        <v>176.71000000000004</v>
      </c>
      <c r="Q88" s="5">
        <f>IFERROR(SalesData[[#This Row],[Profit]]/SalesData[[#This Row],[Revenue]],0)</f>
        <v>0.25382438702078458</v>
      </c>
      <c r="R88" s="3">
        <f>SalesData[[#This Row],[Revenue]]-SalesData[[#This Row],[Target]]</f>
        <v>20.280000000000086</v>
      </c>
      <c r="S88" s="3" t="str">
        <f t="shared" si="1"/>
        <v>Above Target</v>
      </c>
    </row>
    <row r="89" spans="1:19" ht="13.8">
      <c r="A89" t="s">
        <v>214</v>
      </c>
      <c r="B89" s="21">
        <v>45713</v>
      </c>
      <c r="C89" t="s">
        <v>29</v>
      </c>
      <c r="D89" t="s">
        <v>68</v>
      </c>
      <c r="E89" t="s">
        <v>215</v>
      </c>
      <c r="F89" t="s">
        <v>32</v>
      </c>
      <c r="G89" t="s">
        <v>19</v>
      </c>
      <c r="H89" t="s">
        <v>20</v>
      </c>
      <c r="I89">
        <v>2</v>
      </c>
      <c r="J89">
        <v>831.28</v>
      </c>
      <c r="K89">
        <v>0.03</v>
      </c>
      <c r="L89">
        <v>1612.68</v>
      </c>
      <c r="M89">
        <v>1116.68</v>
      </c>
      <c r="N89">
        <v>1761.76</v>
      </c>
      <c r="O89" s="3">
        <f>_xlfn.XLOOKUP(SalesData[[#This Row],[Product]],ProductLookup[Product],ProductLookup[Standard_Price],"Not Found")</f>
        <v>850</v>
      </c>
      <c r="P89" s="3">
        <f>SalesData[[#This Row],[Revenue]]-SalesData[[#This Row],[Cost]]</f>
        <v>496</v>
      </c>
      <c r="Q89" s="5">
        <f>IFERROR(SalesData[[#This Row],[Profit]]/SalesData[[#This Row],[Revenue]],0)</f>
        <v>0.3075625666592256</v>
      </c>
      <c r="R89" s="3">
        <f>SalesData[[#This Row],[Revenue]]-SalesData[[#This Row],[Target]]</f>
        <v>-149.07999999999993</v>
      </c>
      <c r="S89" s="3" t="str">
        <f t="shared" si="1"/>
        <v>Below Target</v>
      </c>
    </row>
    <row r="90" spans="1:19" ht="13.8">
      <c r="A90" t="s">
        <v>216</v>
      </c>
      <c r="B90" s="21">
        <v>45879</v>
      </c>
      <c r="C90" t="s">
        <v>29</v>
      </c>
      <c r="D90" t="s">
        <v>30</v>
      </c>
      <c r="E90" t="s">
        <v>153</v>
      </c>
      <c r="F90" t="s">
        <v>74</v>
      </c>
      <c r="G90" t="s">
        <v>19</v>
      </c>
      <c r="H90" t="s">
        <v>37</v>
      </c>
      <c r="I90">
        <v>1</v>
      </c>
      <c r="J90">
        <v>1122.58</v>
      </c>
      <c r="K90">
        <v>0.02</v>
      </c>
      <c r="L90">
        <v>1100.1300000000001</v>
      </c>
      <c r="M90">
        <v>750.29</v>
      </c>
      <c r="N90">
        <v>1210.8900000000001</v>
      </c>
      <c r="O90" s="3">
        <f>_xlfn.XLOOKUP(SalesData[[#This Row],[Product]],ProductLookup[Product],ProductLookup[Standard_Price],"Not Found")</f>
        <v>1100</v>
      </c>
      <c r="P90" s="3">
        <f>SalesData[[#This Row],[Revenue]]-SalesData[[#This Row],[Cost]]</f>
        <v>349.84000000000015</v>
      </c>
      <c r="Q90" s="5">
        <f>IFERROR(SalesData[[#This Row],[Profit]]/SalesData[[#This Row],[Revenue]],0)</f>
        <v>0.31799878196213183</v>
      </c>
      <c r="R90" s="3">
        <f>SalesData[[#This Row],[Revenue]]-SalesData[[#This Row],[Target]]</f>
        <v>-110.75999999999999</v>
      </c>
      <c r="S90" s="3" t="str">
        <f t="shared" si="1"/>
        <v>Below Target</v>
      </c>
    </row>
    <row r="91" spans="1:19" ht="27.6">
      <c r="A91" t="s">
        <v>217</v>
      </c>
      <c r="B91" s="21">
        <v>45673</v>
      </c>
      <c r="C91" t="s">
        <v>15</v>
      </c>
      <c r="D91" t="s">
        <v>68</v>
      </c>
      <c r="E91" t="s">
        <v>218</v>
      </c>
      <c r="F91" t="s">
        <v>18</v>
      </c>
      <c r="G91" t="s">
        <v>45</v>
      </c>
      <c r="H91" t="s">
        <v>44</v>
      </c>
      <c r="I91">
        <v>7</v>
      </c>
      <c r="J91">
        <v>253.45</v>
      </c>
      <c r="K91">
        <v>0.1</v>
      </c>
      <c r="L91">
        <v>1596.73</v>
      </c>
      <c r="M91">
        <v>1227.3499999999999</v>
      </c>
      <c r="N91">
        <v>1420.7</v>
      </c>
      <c r="O91" s="3">
        <f>_xlfn.XLOOKUP(SalesData[[#This Row],[Product]],ProductLookup[Product],ProductLookup[Standard_Price],"Not Found")</f>
        <v>260</v>
      </c>
      <c r="P91" s="3">
        <f>SalesData[[#This Row],[Revenue]]-SalesData[[#This Row],[Cost]]</f>
        <v>369.38000000000011</v>
      </c>
      <c r="Q91" s="5">
        <f>IFERROR(SalesData[[#This Row],[Profit]]/SalesData[[#This Row],[Revenue]],0)</f>
        <v>0.2313352915020073</v>
      </c>
      <c r="R91" s="3">
        <f>SalesData[[#This Row],[Revenue]]-SalesData[[#This Row],[Target]]</f>
        <v>176.02999999999997</v>
      </c>
      <c r="S91" s="3" t="str">
        <f t="shared" si="1"/>
        <v>Above Target</v>
      </c>
    </row>
    <row r="92" spans="1:19" ht="27.6">
      <c r="A92" t="s">
        <v>219</v>
      </c>
      <c r="B92" s="21">
        <v>45789</v>
      </c>
      <c r="C92" t="s">
        <v>15</v>
      </c>
      <c r="D92" t="s">
        <v>30</v>
      </c>
      <c r="E92" t="s">
        <v>118</v>
      </c>
      <c r="F92" t="s">
        <v>32</v>
      </c>
      <c r="G92" t="s">
        <v>26</v>
      </c>
      <c r="H92" t="s">
        <v>39</v>
      </c>
      <c r="I92">
        <v>12</v>
      </c>
      <c r="J92">
        <v>210.38</v>
      </c>
      <c r="K92">
        <v>0.08</v>
      </c>
      <c r="L92">
        <v>2322.6</v>
      </c>
      <c r="M92">
        <v>1566.82</v>
      </c>
      <c r="N92">
        <v>2195.6799999999998</v>
      </c>
      <c r="O92" s="3">
        <f>_xlfn.XLOOKUP(SalesData[[#This Row],[Product]],ProductLookup[Product],ProductLookup[Standard_Price],"Not Found")</f>
        <v>220</v>
      </c>
      <c r="P92" s="3">
        <f>SalesData[[#This Row],[Revenue]]-SalesData[[#This Row],[Cost]]</f>
        <v>755.78</v>
      </c>
      <c r="Q92" s="5">
        <f>IFERROR(SalesData[[#This Row],[Profit]]/SalesData[[#This Row],[Revenue]],0)</f>
        <v>0.32540256608972701</v>
      </c>
      <c r="R92" s="3">
        <f>SalesData[[#This Row],[Revenue]]-SalesData[[#This Row],[Target]]</f>
        <v>126.92000000000007</v>
      </c>
      <c r="S92" s="3" t="str">
        <f t="shared" si="1"/>
        <v>Above Target</v>
      </c>
    </row>
    <row r="93" spans="1:19" ht="13.8">
      <c r="A93" t="s">
        <v>220</v>
      </c>
      <c r="B93" s="21">
        <v>45799</v>
      </c>
      <c r="C93" t="s">
        <v>15</v>
      </c>
      <c r="D93" t="s">
        <v>16</v>
      </c>
      <c r="E93" t="s">
        <v>221</v>
      </c>
      <c r="F93" t="s">
        <v>25</v>
      </c>
      <c r="G93" t="s">
        <v>26</v>
      </c>
      <c r="H93" t="s">
        <v>27</v>
      </c>
      <c r="I93">
        <v>1</v>
      </c>
      <c r="J93">
        <v>327.08999999999997</v>
      </c>
      <c r="K93">
        <v>0.08</v>
      </c>
      <c r="L93">
        <v>300.92</v>
      </c>
      <c r="M93">
        <v>241.22</v>
      </c>
      <c r="N93">
        <v>310.60000000000002</v>
      </c>
      <c r="O93" s="3">
        <f>_xlfn.XLOOKUP(SalesData[[#This Row],[Product]],ProductLookup[Product],ProductLookup[Standard_Price],"Not Found")</f>
        <v>320</v>
      </c>
      <c r="P93" s="3">
        <f>SalesData[[#This Row],[Revenue]]-SalesData[[#This Row],[Cost]]</f>
        <v>59.700000000000017</v>
      </c>
      <c r="Q93" s="5">
        <f>IFERROR(SalesData[[#This Row],[Profit]]/SalesData[[#This Row],[Revenue]],0)</f>
        <v>0.19839159909610532</v>
      </c>
      <c r="R93" s="3">
        <f>SalesData[[#This Row],[Revenue]]-SalesData[[#This Row],[Target]]</f>
        <v>-9.6800000000000068</v>
      </c>
      <c r="S93" s="3" t="str">
        <f t="shared" si="1"/>
        <v>Below Target</v>
      </c>
    </row>
    <row r="94" spans="1:19" ht="13.8">
      <c r="A94" t="s">
        <v>222</v>
      </c>
      <c r="B94" s="21">
        <v>45712</v>
      </c>
      <c r="C94" t="s">
        <v>22</v>
      </c>
      <c r="D94" t="s">
        <v>23</v>
      </c>
      <c r="E94" t="s">
        <v>73</v>
      </c>
      <c r="F94" t="s">
        <v>74</v>
      </c>
      <c r="G94" t="s">
        <v>33</v>
      </c>
      <c r="H94" t="s">
        <v>41</v>
      </c>
      <c r="I94">
        <v>12</v>
      </c>
      <c r="J94">
        <v>88.88</v>
      </c>
      <c r="K94">
        <v>0.05</v>
      </c>
      <c r="L94">
        <v>1013.23</v>
      </c>
      <c r="M94">
        <v>783.99</v>
      </c>
      <c r="N94">
        <v>1113.79</v>
      </c>
      <c r="O94" s="3">
        <f>_xlfn.XLOOKUP(SalesData[[#This Row],[Product]],ProductLookup[Product],ProductLookup[Standard_Price],"Not Found")</f>
        <v>85</v>
      </c>
      <c r="P94" s="3">
        <f>SalesData[[#This Row],[Revenue]]-SalesData[[#This Row],[Cost]]</f>
        <v>229.24</v>
      </c>
      <c r="Q94" s="5">
        <f>IFERROR(SalesData[[#This Row],[Profit]]/SalesData[[#This Row],[Revenue]],0)</f>
        <v>0.22624675542571776</v>
      </c>
      <c r="R94" s="3">
        <f>SalesData[[#This Row],[Revenue]]-SalesData[[#This Row],[Target]]</f>
        <v>-100.55999999999995</v>
      </c>
      <c r="S94" s="3" t="str">
        <f t="shared" si="1"/>
        <v>Below Target</v>
      </c>
    </row>
    <row r="95" spans="1:19" ht="13.8">
      <c r="A95" t="s">
        <v>223</v>
      </c>
      <c r="B95" s="21">
        <v>45751</v>
      </c>
      <c r="C95" t="s">
        <v>29</v>
      </c>
      <c r="D95" t="s">
        <v>30</v>
      </c>
      <c r="E95" t="s">
        <v>224</v>
      </c>
      <c r="F95" t="s">
        <v>32</v>
      </c>
      <c r="G95" t="s">
        <v>19</v>
      </c>
      <c r="H95" t="s">
        <v>20</v>
      </c>
      <c r="I95">
        <v>13</v>
      </c>
      <c r="J95">
        <v>886.64</v>
      </c>
      <c r="K95">
        <v>0.03</v>
      </c>
      <c r="L95">
        <v>11180.53</v>
      </c>
      <c r="M95">
        <v>8732.06</v>
      </c>
      <c r="N95">
        <v>11912.57</v>
      </c>
      <c r="O95" s="3">
        <f>_xlfn.XLOOKUP(SalesData[[#This Row],[Product]],ProductLookup[Product],ProductLookup[Standard_Price],"Not Found")</f>
        <v>850</v>
      </c>
      <c r="P95" s="3">
        <f>SalesData[[#This Row],[Revenue]]-SalesData[[#This Row],[Cost]]</f>
        <v>2448.4700000000012</v>
      </c>
      <c r="Q95" s="5">
        <f>IFERROR(SalesData[[#This Row],[Profit]]/SalesData[[#This Row],[Revenue]],0)</f>
        <v>0.2189940906200333</v>
      </c>
      <c r="R95" s="3">
        <f>SalesData[[#This Row],[Revenue]]-SalesData[[#This Row],[Target]]</f>
        <v>-732.03999999999905</v>
      </c>
      <c r="S95" s="3" t="str">
        <f t="shared" si="1"/>
        <v>Below Target</v>
      </c>
    </row>
    <row r="96" spans="1:19" ht="27.6">
      <c r="A96" t="s">
        <v>225</v>
      </c>
      <c r="B96" s="21">
        <v>45893</v>
      </c>
      <c r="C96" t="s">
        <v>29</v>
      </c>
      <c r="D96" t="s">
        <v>23</v>
      </c>
      <c r="E96" t="s">
        <v>226</v>
      </c>
      <c r="F96" t="s">
        <v>18</v>
      </c>
      <c r="G96" t="s">
        <v>26</v>
      </c>
      <c r="H96" t="s">
        <v>40</v>
      </c>
      <c r="I96">
        <v>13</v>
      </c>
      <c r="J96">
        <v>462.7</v>
      </c>
      <c r="K96">
        <v>0</v>
      </c>
      <c r="L96">
        <v>6015.1</v>
      </c>
      <c r="M96">
        <v>4286.45</v>
      </c>
      <c r="N96">
        <v>5858.73</v>
      </c>
      <c r="O96" s="3">
        <f>_xlfn.XLOOKUP(SalesData[[#This Row],[Product]],ProductLookup[Product],ProductLookup[Standard_Price],"Not Found")</f>
        <v>450</v>
      </c>
      <c r="P96" s="3">
        <f>SalesData[[#This Row],[Revenue]]-SalesData[[#This Row],[Cost]]</f>
        <v>1728.6500000000005</v>
      </c>
      <c r="Q96" s="5">
        <f>IFERROR(SalesData[[#This Row],[Profit]]/SalesData[[#This Row],[Revenue]],0)</f>
        <v>0.28738508087978593</v>
      </c>
      <c r="R96" s="3">
        <f>SalesData[[#This Row],[Revenue]]-SalesData[[#This Row],[Target]]</f>
        <v>156.3700000000008</v>
      </c>
      <c r="S96" s="3" t="str">
        <f t="shared" si="1"/>
        <v>Above Target</v>
      </c>
    </row>
    <row r="97" spans="1:19" ht="27.6">
      <c r="A97" t="s">
        <v>227</v>
      </c>
      <c r="B97" s="21">
        <v>45990</v>
      </c>
      <c r="C97" t="s">
        <v>15</v>
      </c>
      <c r="D97" t="s">
        <v>16</v>
      </c>
      <c r="E97" t="s">
        <v>228</v>
      </c>
      <c r="F97" t="s">
        <v>18</v>
      </c>
      <c r="G97" t="s">
        <v>19</v>
      </c>
      <c r="H97" t="s">
        <v>20</v>
      </c>
      <c r="I97">
        <v>8</v>
      </c>
      <c r="J97">
        <v>854.47</v>
      </c>
      <c r="K97">
        <v>0.03</v>
      </c>
      <c r="L97">
        <v>6630.69</v>
      </c>
      <c r="M97">
        <v>4212.82</v>
      </c>
      <c r="N97">
        <v>6513.81</v>
      </c>
      <c r="O97" s="3">
        <f>_xlfn.XLOOKUP(SalesData[[#This Row],[Product]],ProductLookup[Product],ProductLookup[Standard_Price],"Not Found")</f>
        <v>850</v>
      </c>
      <c r="P97" s="3">
        <f>SalesData[[#This Row],[Revenue]]-SalesData[[#This Row],[Cost]]</f>
        <v>2417.87</v>
      </c>
      <c r="Q97" s="5">
        <f>IFERROR(SalesData[[#This Row],[Profit]]/SalesData[[#This Row],[Revenue]],0)</f>
        <v>0.36464832468415809</v>
      </c>
      <c r="R97" s="3">
        <f>SalesData[[#This Row],[Revenue]]-SalesData[[#This Row],[Target]]</f>
        <v>116.8799999999992</v>
      </c>
      <c r="S97" s="3" t="str">
        <f t="shared" si="1"/>
        <v>Above Target</v>
      </c>
    </row>
    <row r="98" spans="1:19" ht="27.6">
      <c r="A98" t="s">
        <v>229</v>
      </c>
      <c r="B98" s="21">
        <v>45764</v>
      </c>
      <c r="C98" t="s">
        <v>29</v>
      </c>
      <c r="D98" t="s">
        <v>68</v>
      </c>
      <c r="E98" t="s">
        <v>230</v>
      </c>
      <c r="F98" t="s">
        <v>25</v>
      </c>
      <c r="G98" t="s">
        <v>19</v>
      </c>
      <c r="H98" t="s">
        <v>37</v>
      </c>
      <c r="I98">
        <v>7</v>
      </c>
      <c r="J98">
        <v>1099.83</v>
      </c>
      <c r="K98">
        <v>0.1</v>
      </c>
      <c r="L98">
        <v>6928.93</v>
      </c>
      <c r="M98">
        <v>5639.22</v>
      </c>
      <c r="N98">
        <v>6385.47</v>
      </c>
      <c r="O98" s="3">
        <f>_xlfn.XLOOKUP(SalesData[[#This Row],[Product]],ProductLookup[Product],ProductLookup[Standard_Price],"Not Found")</f>
        <v>1100</v>
      </c>
      <c r="P98" s="3">
        <f>SalesData[[#This Row],[Revenue]]-SalesData[[#This Row],[Cost]]</f>
        <v>1289.71</v>
      </c>
      <c r="Q98" s="5">
        <f>IFERROR(SalesData[[#This Row],[Profit]]/SalesData[[#This Row],[Revenue]],0)</f>
        <v>0.18613407842192084</v>
      </c>
      <c r="R98" s="3">
        <f>SalesData[[#This Row],[Revenue]]-SalesData[[#This Row],[Target]]</f>
        <v>543.46</v>
      </c>
      <c r="S98" s="3" t="str">
        <f t="shared" si="1"/>
        <v>Above Target</v>
      </c>
    </row>
    <row r="99" spans="1:19" ht="13.8">
      <c r="A99" t="s">
        <v>231</v>
      </c>
      <c r="B99" s="21">
        <v>45933</v>
      </c>
      <c r="C99" t="s">
        <v>67</v>
      </c>
      <c r="D99" t="s">
        <v>30</v>
      </c>
      <c r="E99" t="s">
        <v>87</v>
      </c>
      <c r="F99" t="s">
        <v>32</v>
      </c>
      <c r="G99" t="s">
        <v>45</v>
      </c>
      <c r="H99" t="s">
        <v>47</v>
      </c>
      <c r="I99">
        <v>11</v>
      </c>
      <c r="J99">
        <v>430.9</v>
      </c>
      <c r="K99">
        <v>0.03</v>
      </c>
      <c r="L99">
        <v>4597.7</v>
      </c>
      <c r="M99">
        <v>3055.78</v>
      </c>
      <c r="N99">
        <v>4671.5</v>
      </c>
      <c r="O99" s="3">
        <f>_xlfn.XLOOKUP(SalesData[[#This Row],[Product]],ProductLookup[Product],ProductLookup[Standard_Price],"Not Found")</f>
        <v>420</v>
      </c>
      <c r="P99" s="3">
        <f>SalesData[[#This Row],[Revenue]]-SalesData[[#This Row],[Cost]]</f>
        <v>1541.9199999999996</v>
      </c>
      <c r="Q99" s="5">
        <f>IFERROR(SalesData[[#This Row],[Profit]]/SalesData[[#This Row],[Revenue]],0)</f>
        <v>0.33536768384192089</v>
      </c>
      <c r="R99" s="3">
        <f>SalesData[[#This Row],[Revenue]]-SalesData[[#This Row],[Target]]</f>
        <v>-73.800000000000182</v>
      </c>
      <c r="S99" s="3" t="str">
        <f t="shared" si="1"/>
        <v>Below Target</v>
      </c>
    </row>
    <row r="100" spans="1:19" ht="13.8">
      <c r="A100" t="s">
        <v>232</v>
      </c>
      <c r="B100" s="21">
        <v>45759</v>
      </c>
      <c r="C100" t="s">
        <v>29</v>
      </c>
      <c r="D100" t="s">
        <v>30</v>
      </c>
      <c r="E100" t="s">
        <v>218</v>
      </c>
      <c r="F100" t="s">
        <v>74</v>
      </c>
      <c r="G100" t="s">
        <v>33</v>
      </c>
      <c r="H100" t="s">
        <v>41</v>
      </c>
      <c r="I100">
        <v>4</v>
      </c>
      <c r="J100">
        <v>82.33</v>
      </c>
      <c r="K100">
        <v>0.02</v>
      </c>
      <c r="L100">
        <v>322.73</v>
      </c>
      <c r="M100">
        <v>204.52</v>
      </c>
      <c r="N100">
        <v>352.49</v>
      </c>
      <c r="O100" s="3">
        <f>_xlfn.XLOOKUP(SalesData[[#This Row],[Product]],ProductLookup[Product],ProductLookup[Standard_Price],"Not Found")</f>
        <v>85</v>
      </c>
      <c r="P100" s="3">
        <f>SalesData[[#This Row],[Revenue]]-SalesData[[#This Row],[Cost]]</f>
        <v>118.21000000000001</v>
      </c>
      <c r="Q100" s="5">
        <f>IFERROR(SalesData[[#This Row],[Profit]]/SalesData[[#This Row],[Revenue]],0)</f>
        <v>0.36628141170637996</v>
      </c>
      <c r="R100" s="3">
        <f>SalesData[[#This Row],[Revenue]]-SalesData[[#This Row],[Target]]</f>
        <v>-29.759999999999991</v>
      </c>
      <c r="S100" s="3" t="str">
        <f t="shared" si="1"/>
        <v>Below Target</v>
      </c>
    </row>
    <row r="101" spans="1:19" ht="13.8">
      <c r="A101" t="s">
        <v>233</v>
      </c>
      <c r="B101" s="21">
        <v>45786</v>
      </c>
      <c r="C101" t="s">
        <v>15</v>
      </c>
      <c r="D101" t="s">
        <v>16</v>
      </c>
      <c r="E101" t="s">
        <v>17</v>
      </c>
      <c r="F101" t="s">
        <v>74</v>
      </c>
      <c r="G101" t="s">
        <v>26</v>
      </c>
      <c r="H101" t="s">
        <v>39</v>
      </c>
      <c r="I101">
        <v>9</v>
      </c>
      <c r="J101">
        <v>220.58</v>
      </c>
      <c r="K101">
        <v>0.1</v>
      </c>
      <c r="L101">
        <v>1786.7</v>
      </c>
      <c r="M101">
        <v>1389.8</v>
      </c>
      <c r="N101">
        <v>1852.45</v>
      </c>
      <c r="O101" s="3">
        <f>_xlfn.XLOOKUP(SalesData[[#This Row],[Product]],ProductLookup[Product],ProductLookup[Standard_Price],"Not Found")</f>
        <v>220</v>
      </c>
      <c r="P101" s="3">
        <f>SalesData[[#This Row],[Revenue]]-SalesData[[#This Row],[Cost]]</f>
        <v>396.90000000000009</v>
      </c>
      <c r="Q101" s="5">
        <f>IFERROR(SalesData[[#This Row],[Profit]]/SalesData[[#This Row],[Revenue]],0)</f>
        <v>0.22214137795936648</v>
      </c>
      <c r="R101" s="3">
        <f>SalesData[[#This Row],[Revenue]]-SalesData[[#This Row],[Target]]</f>
        <v>-65.75</v>
      </c>
      <c r="S101" s="3" t="str">
        <f t="shared" si="1"/>
        <v>Below Target</v>
      </c>
    </row>
    <row r="102" spans="1:19" ht="27.6">
      <c r="A102" t="s">
        <v>234</v>
      </c>
      <c r="B102" s="21">
        <v>45776</v>
      </c>
      <c r="C102" t="s">
        <v>29</v>
      </c>
      <c r="D102" t="s">
        <v>16</v>
      </c>
      <c r="E102" t="s">
        <v>235</v>
      </c>
      <c r="F102" t="s">
        <v>25</v>
      </c>
      <c r="G102" t="s">
        <v>33</v>
      </c>
      <c r="H102" t="s">
        <v>41</v>
      </c>
      <c r="I102">
        <v>15</v>
      </c>
      <c r="J102">
        <v>83.93</v>
      </c>
      <c r="K102">
        <v>0.03</v>
      </c>
      <c r="L102">
        <v>1221.18</v>
      </c>
      <c r="M102">
        <v>795.28</v>
      </c>
      <c r="N102">
        <v>1089.4100000000001</v>
      </c>
      <c r="O102" s="3">
        <f>_xlfn.XLOOKUP(SalesData[[#This Row],[Product]],ProductLookup[Product],ProductLookup[Standard_Price],"Not Found")</f>
        <v>85</v>
      </c>
      <c r="P102" s="3">
        <f>SalesData[[#This Row],[Revenue]]-SalesData[[#This Row],[Cost]]</f>
        <v>425.90000000000009</v>
      </c>
      <c r="Q102" s="5">
        <f>IFERROR(SalesData[[#This Row],[Profit]]/SalesData[[#This Row],[Revenue]],0)</f>
        <v>0.34876103440934186</v>
      </c>
      <c r="R102" s="3">
        <f>SalesData[[#This Row],[Revenue]]-SalesData[[#This Row],[Target]]</f>
        <v>131.76999999999998</v>
      </c>
      <c r="S102" s="3" t="str">
        <f t="shared" si="1"/>
        <v>Above Target</v>
      </c>
    </row>
    <row r="103" spans="1:19" ht="27.6">
      <c r="A103" t="s">
        <v>236</v>
      </c>
      <c r="B103" s="21">
        <v>45887</v>
      </c>
      <c r="C103" t="s">
        <v>67</v>
      </c>
      <c r="D103" t="s">
        <v>23</v>
      </c>
      <c r="E103" t="s">
        <v>237</v>
      </c>
      <c r="F103" t="s">
        <v>32</v>
      </c>
      <c r="G103" t="s">
        <v>33</v>
      </c>
      <c r="H103" t="s">
        <v>43</v>
      </c>
      <c r="I103">
        <v>5</v>
      </c>
      <c r="J103">
        <v>77.06</v>
      </c>
      <c r="K103">
        <v>0.1</v>
      </c>
      <c r="L103">
        <v>346.77</v>
      </c>
      <c r="M103">
        <v>280.20999999999998</v>
      </c>
      <c r="N103">
        <v>313.95999999999998</v>
      </c>
      <c r="O103" s="3">
        <f>_xlfn.XLOOKUP(SalesData[[#This Row],[Product]],ProductLookup[Product],ProductLookup[Standard_Price],"Not Found")</f>
        <v>75</v>
      </c>
      <c r="P103" s="3">
        <f>SalesData[[#This Row],[Revenue]]-SalesData[[#This Row],[Cost]]</f>
        <v>66.56</v>
      </c>
      <c r="Q103" s="5">
        <f>IFERROR(SalesData[[#This Row],[Profit]]/SalesData[[#This Row],[Revenue]],0)</f>
        <v>0.19194278628485742</v>
      </c>
      <c r="R103" s="3">
        <f>SalesData[[#This Row],[Revenue]]-SalesData[[#This Row],[Target]]</f>
        <v>32.81</v>
      </c>
      <c r="S103" s="3" t="str">
        <f t="shared" si="1"/>
        <v>Above Target</v>
      </c>
    </row>
    <row r="104" spans="1:19" ht="13.8">
      <c r="A104" t="s">
        <v>238</v>
      </c>
      <c r="B104" s="21">
        <v>45832</v>
      </c>
      <c r="C104" t="s">
        <v>29</v>
      </c>
      <c r="D104" t="s">
        <v>16</v>
      </c>
      <c r="E104" t="s">
        <v>89</v>
      </c>
      <c r="F104" t="s">
        <v>32</v>
      </c>
      <c r="G104" t="s">
        <v>19</v>
      </c>
      <c r="H104" t="s">
        <v>38</v>
      </c>
      <c r="I104">
        <v>1</v>
      </c>
      <c r="J104">
        <v>921.88</v>
      </c>
      <c r="K104">
        <v>0.03</v>
      </c>
      <c r="L104">
        <v>894.22</v>
      </c>
      <c r="M104">
        <v>544.04999999999995</v>
      </c>
      <c r="N104">
        <v>944.06</v>
      </c>
      <c r="O104" s="3">
        <f>_xlfn.XLOOKUP(SalesData[[#This Row],[Product]],ProductLookup[Product],ProductLookup[Standard_Price],"Not Found")</f>
        <v>950</v>
      </c>
      <c r="P104" s="3">
        <f>SalesData[[#This Row],[Revenue]]-SalesData[[#This Row],[Cost]]</f>
        <v>350.17000000000007</v>
      </c>
      <c r="Q104" s="5">
        <f>IFERROR(SalesData[[#This Row],[Profit]]/SalesData[[#This Row],[Revenue]],0)</f>
        <v>0.39159267294401834</v>
      </c>
      <c r="R104" s="3">
        <f>SalesData[[#This Row],[Revenue]]-SalesData[[#This Row],[Target]]</f>
        <v>-49.839999999999918</v>
      </c>
      <c r="S104" s="3" t="str">
        <f t="shared" si="1"/>
        <v>Below Target</v>
      </c>
    </row>
    <row r="105" spans="1:19" ht="27.6">
      <c r="A105" t="s">
        <v>239</v>
      </c>
      <c r="B105" s="21">
        <v>45867</v>
      </c>
      <c r="C105" t="s">
        <v>22</v>
      </c>
      <c r="D105" t="s">
        <v>64</v>
      </c>
      <c r="E105" t="s">
        <v>240</v>
      </c>
      <c r="F105" t="s">
        <v>18</v>
      </c>
      <c r="G105" t="s">
        <v>45</v>
      </c>
      <c r="H105" t="s">
        <v>44</v>
      </c>
      <c r="I105">
        <v>6</v>
      </c>
      <c r="J105">
        <v>251.81</v>
      </c>
      <c r="K105">
        <v>0.03</v>
      </c>
      <c r="L105">
        <v>1465.53</v>
      </c>
      <c r="M105">
        <v>904.45</v>
      </c>
      <c r="N105">
        <v>1300.73</v>
      </c>
      <c r="O105" s="3">
        <f>_xlfn.XLOOKUP(SalesData[[#This Row],[Product]],ProductLookup[Product],ProductLookup[Standard_Price],"Not Found")</f>
        <v>260</v>
      </c>
      <c r="P105" s="3">
        <f>SalesData[[#This Row],[Revenue]]-SalesData[[#This Row],[Cost]]</f>
        <v>561.07999999999993</v>
      </c>
      <c r="Q105" s="5">
        <f>IFERROR(SalesData[[#This Row],[Profit]]/SalesData[[#This Row],[Revenue]],0)</f>
        <v>0.38285125517730784</v>
      </c>
      <c r="R105" s="3">
        <f>SalesData[[#This Row],[Revenue]]-SalesData[[#This Row],[Target]]</f>
        <v>164.79999999999995</v>
      </c>
      <c r="S105" s="3" t="str">
        <f t="shared" si="1"/>
        <v>Above Target</v>
      </c>
    </row>
    <row r="106" spans="1:19" ht="13.8">
      <c r="A106" t="s">
        <v>241</v>
      </c>
      <c r="B106" s="21">
        <v>45866</v>
      </c>
      <c r="C106" t="s">
        <v>29</v>
      </c>
      <c r="D106" t="s">
        <v>68</v>
      </c>
      <c r="E106" t="s">
        <v>159</v>
      </c>
      <c r="F106" t="s">
        <v>32</v>
      </c>
      <c r="G106" t="s">
        <v>19</v>
      </c>
      <c r="H106" t="s">
        <v>37</v>
      </c>
      <c r="I106">
        <v>13</v>
      </c>
      <c r="J106">
        <v>1088.48</v>
      </c>
      <c r="K106">
        <v>0.08</v>
      </c>
      <c r="L106">
        <v>13018.22</v>
      </c>
      <c r="M106">
        <v>8253.57</v>
      </c>
      <c r="N106">
        <v>13124.44</v>
      </c>
      <c r="O106" s="3">
        <f>_xlfn.XLOOKUP(SalesData[[#This Row],[Product]],ProductLookup[Product],ProductLookup[Standard_Price],"Not Found")</f>
        <v>1100</v>
      </c>
      <c r="P106" s="3">
        <f>SalesData[[#This Row],[Revenue]]-SalesData[[#This Row],[Cost]]</f>
        <v>4764.6499999999996</v>
      </c>
      <c r="Q106" s="5">
        <f>IFERROR(SalesData[[#This Row],[Profit]]/SalesData[[#This Row],[Revenue]],0)</f>
        <v>0.36599857737847413</v>
      </c>
      <c r="R106" s="3">
        <f>SalesData[[#This Row],[Revenue]]-SalesData[[#This Row],[Target]]</f>
        <v>-106.22000000000116</v>
      </c>
      <c r="S106" s="3" t="str">
        <f t="shared" si="1"/>
        <v>Below Target</v>
      </c>
    </row>
    <row r="107" spans="1:19" ht="13.8">
      <c r="A107" t="s">
        <v>242</v>
      </c>
      <c r="B107" s="21">
        <v>45867</v>
      </c>
      <c r="C107" t="s">
        <v>67</v>
      </c>
      <c r="D107" t="s">
        <v>68</v>
      </c>
      <c r="E107" t="s">
        <v>131</v>
      </c>
      <c r="F107" t="s">
        <v>18</v>
      </c>
      <c r="G107" t="s">
        <v>26</v>
      </c>
      <c r="H107" t="s">
        <v>27</v>
      </c>
      <c r="I107">
        <v>11</v>
      </c>
      <c r="J107">
        <v>313.83999999999997</v>
      </c>
      <c r="K107">
        <v>0</v>
      </c>
      <c r="L107">
        <v>3452.24</v>
      </c>
      <c r="M107">
        <v>2308.58</v>
      </c>
      <c r="N107">
        <v>3507.35</v>
      </c>
      <c r="O107" s="3">
        <f>_xlfn.XLOOKUP(SalesData[[#This Row],[Product]],ProductLookup[Product],ProductLookup[Standard_Price],"Not Found")</f>
        <v>320</v>
      </c>
      <c r="P107" s="3">
        <f>SalesData[[#This Row],[Revenue]]-SalesData[[#This Row],[Cost]]</f>
        <v>1143.6599999999999</v>
      </c>
      <c r="Q107" s="5">
        <f>IFERROR(SalesData[[#This Row],[Profit]]/SalesData[[#This Row],[Revenue]],0)</f>
        <v>0.33128055986837529</v>
      </c>
      <c r="R107" s="3">
        <f>SalesData[[#This Row],[Revenue]]-SalesData[[#This Row],[Target]]</f>
        <v>-55.110000000000127</v>
      </c>
      <c r="S107" s="3" t="str">
        <f t="shared" si="1"/>
        <v>Below Target</v>
      </c>
    </row>
    <row r="108" spans="1:19" ht="27.6">
      <c r="A108" t="s">
        <v>243</v>
      </c>
      <c r="B108" s="21">
        <v>45844</v>
      </c>
      <c r="C108" t="s">
        <v>29</v>
      </c>
      <c r="D108" t="s">
        <v>68</v>
      </c>
      <c r="E108" t="s">
        <v>100</v>
      </c>
      <c r="F108" t="s">
        <v>18</v>
      </c>
      <c r="G108" t="s">
        <v>45</v>
      </c>
      <c r="H108" t="s">
        <v>44</v>
      </c>
      <c r="I108">
        <v>4</v>
      </c>
      <c r="J108">
        <v>257.16000000000003</v>
      </c>
      <c r="K108">
        <v>0.05</v>
      </c>
      <c r="L108">
        <v>977.21</v>
      </c>
      <c r="M108">
        <v>630.11</v>
      </c>
      <c r="N108">
        <v>861.32</v>
      </c>
      <c r="O108" s="3">
        <f>_xlfn.XLOOKUP(SalesData[[#This Row],[Product]],ProductLookup[Product],ProductLookup[Standard_Price],"Not Found")</f>
        <v>260</v>
      </c>
      <c r="P108" s="3">
        <f>SalesData[[#This Row],[Revenue]]-SalesData[[#This Row],[Cost]]</f>
        <v>347.1</v>
      </c>
      <c r="Q108" s="5">
        <f>IFERROR(SalesData[[#This Row],[Profit]]/SalesData[[#This Row],[Revenue]],0)</f>
        <v>0.3551948915790874</v>
      </c>
      <c r="R108" s="3">
        <f>SalesData[[#This Row],[Revenue]]-SalesData[[#This Row],[Target]]</f>
        <v>115.88999999999999</v>
      </c>
      <c r="S108" s="3" t="str">
        <f t="shared" si="1"/>
        <v>Above Target</v>
      </c>
    </row>
    <row r="109" spans="1:19" ht="27.6">
      <c r="A109" t="s">
        <v>244</v>
      </c>
      <c r="B109" s="21">
        <v>45865</v>
      </c>
      <c r="C109" t="s">
        <v>29</v>
      </c>
      <c r="D109" t="s">
        <v>82</v>
      </c>
      <c r="E109" t="s">
        <v>184</v>
      </c>
      <c r="F109" t="s">
        <v>74</v>
      </c>
      <c r="G109" t="s">
        <v>33</v>
      </c>
      <c r="H109" t="s">
        <v>43</v>
      </c>
      <c r="I109">
        <v>15</v>
      </c>
      <c r="J109">
        <v>73.989999999999995</v>
      </c>
      <c r="K109">
        <v>0.02</v>
      </c>
      <c r="L109">
        <v>1087.6500000000001</v>
      </c>
      <c r="M109">
        <v>683.69</v>
      </c>
      <c r="N109">
        <v>970.63</v>
      </c>
      <c r="O109" s="3">
        <f>_xlfn.XLOOKUP(SalesData[[#This Row],[Product]],ProductLookup[Product],ProductLookup[Standard_Price],"Not Found")</f>
        <v>75</v>
      </c>
      <c r="P109" s="3">
        <f>SalesData[[#This Row],[Revenue]]-SalesData[[#This Row],[Cost]]</f>
        <v>403.96000000000004</v>
      </c>
      <c r="Q109" s="5">
        <f>IFERROR(SalesData[[#This Row],[Profit]]/SalesData[[#This Row],[Revenue]],0)</f>
        <v>0.37140624281708268</v>
      </c>
      <c r="R109" s="3">
        <f>SalesData[[#This Row],[Revenue]]-SalesData[[#This Row],[Target]]</f>
        <v>117.0200000000001</v>
      </c>
      <c r="S109" s="3" t="str">
        <f t="shared" si="1"/>
        <v>Above Target</v>
      </c>
    </row>
    <row r="110" spans="1:19" ht="27.6">
      <c r="A110" t="s">
        <v>245</v>
      </c>
      <c r="B110" s="21">
        <v>45703</v>
      </c>
      <c r="C110" t="s">
        <v>67</v>
      </c>
      <c r="D110" t="s">
        <v>23</v>
      </c>
      <c r="E110" t="s">
        <v>246</v>
      </c>
      <c r="F110" t="s">
        <v>25</v>
      </c>
      <c r="G110" t="s">
        <v>33</v>
      </c>
      <c r="H110" t="s">
        <v>43</v>
      </c>
      <c r="I110">
        <v>10</v>
      </c>
      <c r="J110">
        <v>78.2</v>
      </c>
      <c r="K110">
        <v>0.1</v>
      </c>
      <c r="L110">
        <v>703.8</v>
      </c>
      <c r="M110">
        <v>500.39</v>
      </c>
      <c r="N110">
        <v>643.99</v>
      </c>
      <c r="O110" s="3">
        <f>_xlfn.XLOOKUP(SalesData[[#This Row],[Product]],ProductLookup[Product],ProductLookup[Standard_Price],"Not Found")</f>
        <v>75</v>
      </c>
      <c r="P110" s="3">
        <f>SalesData[[#This Row],[Revenue]]-SalesData[[#This Row],[Cost]]</f>
        <v>203.40999999999997</v>
      </c>
      <c r="Q110" s="5">
        <f>IFERROR(SalesData[[#This Row],[Profit]]/SalesData[[#This Row],[Revenue]],0)</f>
        <v>0.28901676612674054</v>
      </c>
      <c r="R110" s="3">
        <f>SalesData[[#This Row],[Revenue]]-SalesData[[#This Row],[Target]]</f>
        <v>59.809999999999945</v>
      </c>
      <c r="S110" s="3" t="str">
        <f t="shared" si="1"/>
        <v>Above Target</v>
      </c>
    </row>
    <row r="111" spans="1:19" ht="13.8">
      <c r="A111" t="s">
        <v>247</v>
      </c>
      <c r="B111" s="21">
        <v>45692</v>
      </c>
      <c r="C111" t="s">
        <v>15</v>
      </c>
      <c r="D111" t="s">
        <v>68</v>
      </c>
      <c r="E111" t="s">
        <v>248</v>
      </c>
      <c r="F111" t="s">
        <v>18</v>
      </c>
      <c r="G111" t="s">
        <v>19</v>
      </c>
      <c r="H111" t="s">
        <v>37</v>
      </c>
      <c r="I111">
        <v>7</v>
      </c>
      <c r="J111">
        <v>1098.96</v>
      </c>
      <c r="K111">
        <v>0.02</v>
      </c>
      <c r="L111">
        <v>7538.87</v>
      </c>
      <c r="M111">
        <v>5023.57</v>
      </c>
      <c r="N111">
        <v>8149.14</v>
      </c>
      <c r="O111" s="3">
        <f>_xlfn.XLOOKUP(SalesData[[#This Row],[Product]],ProductLookup[Product],ProductLookup[Standard_Price],"Not Found")</f>
        <v>1100</v>
      </c>
      <c r="P111" s="3">
        <f>SalesData[[#This Row],[Revenue]]-SalesData[[#This Row],[Cost]]</f>
        <v>2515.3000000000002</v>
      </c>
      <c r="Q111" s="5">
        <f>IFERROR(SalesData[[#This Row],[Profit]]/SalesData[[#This Row],[Revenue]],0)</f>
        <v>0.33364416683136866</v>
      </c>
      <c r="R111" s="3">
        <f>SalesData[[#This Row],[Revenue]]-SalesData[[#This Row],[Target]]</f>
        <v>-610.27000000000044</v>
      </c>
      <c r="S111" s="3" t="str">
        <f t="shared" si="1"/>
        <v>Below Target</v>
      </c>
    </row>
    <row r="112" spans="1:19" ht="13.8">
      <c r="A112" t="s">
        <v>249</v>
      </c>
      <c r="B112" s="21">
        <v>45969</v>
      </c>
      <c r="C112" t="s">
        <v>29</v>
      </c>
      <c r="D112" t="s">
        <v>82</v>
      </c>
      <c r="E112" t="s">
        <v>250</v>
      </c>
      <c r="F112" t="s">
        <v>25</v>
      </c>
      <c r="G112" t="s">
        <v>45</v>
      </c>
      <c r="H112" t="s">
        <v>44</v>
      </c>
      <c r="I112">
        <v>7</v>
      </c>
      <c r="J112">
        <v>249.24</v>
      </c>
      <c r="K112">
        <v>0.1</v>
      </c>
      <c r="L112">
        <v>1570.21</v>
      </c>
      <c r="M112">
        <v>1156.42</v>
      </c>
      <c r="N112">
        <v>1692.52</v>
      </c>
      <c r="O112" s="3">
        <f>_xlfn.XLOOKUP(SalesData[[#This Row],[Product]],ProductLookup[Product],ProductLookup[Standard_Price],"Not Found")</f>
        <v>260</v>
      </c>
      <c r="P112" s="3">
        <f>SalesData[[#This Row],[Revenue]]-SalesData[[#This Row],[Cost]]</f>
        <v>413.78999999999996</v>
      </c>
      <c r="Q112" s="5">
        <f>IFERROR(SalesData[[#This Row],[Profit]]/SalesData[[#This Row],[Revenue]],0)</f>
        <v>0.26352526095235668</v>
      </c>
      <c r="R112" s="3">
        <f>SalesData[[#This Row],[Revenue]]-SalesData[[#This Row],[Target]]</f>
        <v>-122.30999999999995</v>
      </c>
      <c r="S112" s="3" t="str">
        <f t="shared" si="1"/>
        <v>Below Target</v>
      </c>
    </row>
    <row r="113" spans="1:19" ht="27.6">
      <c r="A113" t="s">
        <v>251</v>
      </c>
      <c r="B113" s="21">
        <v>45975</v>
      </c>
      <c r="C113" t="s">
        <v>22</v>
      </c>
      <c r="D113" t="s">
        <v>64</v>
      </c>
      <c r="E113" t="s">
        <v>96</v>
      </c>
      <c r="F113" t="s">
        <v>74</v>
      </c>
      <c r="G113" t="s">
        <v>33</v>
      </c>
      <c r="H113" t="s">
        <v>34</v>
      </c>
      <c r="I113">
        <v>10</v>
      </c>
      <c r="J113">
        <v>36.21</v>
      </c>
      <c r="K113">
        <v>0.05</v>
      </c>
      <c r="L113">
        <v>344</v>
      </c>
      <c r="M113">
        <v>220.25</v>
      </c>
      <c r="N113">
        <v>320.73</v>
      </c>
      <c r="O113" s="3">
        <f>_xlfn.XLOOKUP(SalesData[[#This Row],[Product]],ProductLookup[Product],ProductLookup[Standard_Price],"Not Found")</f>
        <v>35</v>
      </c>
      <c r="P113" s="3">
        <f>SalesData[[#This Row],[Revenue]]-SalesData[[#This Row],[Cost]]</f>
        <v>123.75</v>
      </c>
      <c r="Q113" s="5">
        <f>IFERROR(SalesData[[#This Row],[Profit]]/SalesData[[#This Row],[Revenue]],0)</f>
        <v>0.35973837209302323</v>
      </c>
      <c r="R113" s="3">
        <f>SalesData[[#This Row],[Revenue]]-SalesData[[#This Row],[Target]]</f>
        <v>23.269999999999982</v>
      </c>
      <c r="S113" s="3" t="str">
        <f t="shared" si="1"/>
        <v>Above Target</v>
      </c>
    </row>
    <row r="114" spans="1:19" ht="27.6">
      <c r="A114" t="s">
        <v>252</v>
      </c>
      <c r="B114" s="21">
        <v>45841</v>
      </c>
      <c r="C114" t="s">
        <v>15</v>
      </c>
      <c r="D114" t="s">
        <v>82</v>
      </c>
      <c r="E114" t="s">
        <v>150</v>
      </c>
      <c r="F114" t="s">
        <v>32</v>
      </c>
      <c r="G114" t="s">
        <v>19</v>
      </c>
      <c r="H114" t="s">
        <v>37</v>
      </c>
      <c r="I114">
        <v>3</v>
      </c>
      <c r="J114">
        <v>1072.18</v>
      </c>
      <c r="K114">
        <v>0.1</v>
      </c>
      <c r="L114">
        <v>2894.89</v>
      </c>
      <c r="M114">
        <v>2256.4</v>
      </c>
      <c r="N114">
        <v>2681.31</v>
      </c>
      <c r="O114" s="3">
        <f>_xlfn.XLOOKUP(SalesData[[#This Row],[Product]],ProductLookup[Product],ProductLookup[Standard_Price],"Not Found")</f>
        <v>1100</v>
      </c>
      <c r="P114" s="3">
        <f>SalesData[[#This Row],[Revenue]]-SalesData[[#This Row],[Cost]]</f>
        <v>638.48999999999978</v>
      </c>
      <c r="Q114" s="5">
        <f>IFERROR(SalesData[[#This Row],[Profit]]/SalesData[[#This Row],[Revenue]],0)</f>
        <v>0.22055760322499293</v>
      </c>
      <c r="R114" s="3">
        <f>SalesData[[#This Row],[Revenue]]-SalesData[[#This Row],[Target]]</f>
        <v>213.57999999999993</v>
      </c>
      <c r="S114" s="3" t="str">
        <f t="shared" si="1"/>
        <v>Above Target</v>
      </c>
    </row>
    <row r="115" spans="1:19" ht="13.8">
      <c r="A115" t="s">
        <v>253</v>
      </c>
      <c r="B115" s="21">
        <v>45718</v>
      </c>
      <c r="C115" t="s">
        <v>67</v>
      </c>
      <c r="D115" t="s">
        <v>64</v>
      </c>
      <c r="E115" t="s">
        <v>254</v>
      </c>
      <c r="F115" t="s">
        <v>74</v>
      </c>
      <c r="G115" t="s">
        <v>33</v>
      </c>
      <c r="H115" t="s">
        <v>34</v>
      </c>
      <c r="I115">
        <v>10</v>
      </c>
      <c r="J115">
        <v>34.85</v>
      </c>
      <c r="K115">
        <v>0.1</v>
      </c>
      <c r="L115">
        <v>313.64999999999998</v>
      </c>
      <c r="M115">
        <v>241.88</v>
      </c>
      <c r="N115">
        <v>324.87</v>
      </c>
      <c r="O115" s="3">
        <f>_xlfn.XLOOKUP(SalesData[[#This Row],[Product]],ProductLookup[Product],ProductLookup[Standard_Price],"Not Found")</f>
        <v>35</v>
      </c>
      <c r="P115" s="3">
        <f>SalesData[[#This Row],[Revenue]]-SalesData[[#This Row],[Cost]]</f>
        <v>71.769999999999982</v>
      </c>
      <c r="Q115" s="5">
        <f>IFERROR(SalesData[[#This Row],[Profit]]/SalesData[[#This Row],[Revenue]],0)</f>
        <v>0.22882193527817626</v>
      </c>
      <c r="R115" s="3">
        <f>SalesData[[#This Row],[Revenue]]-SalesData[[#This Row],[Target]]</f>
        <v>-11.220000000000027</v>
      </c>
      <c r="S115" s="3" t="str">
        <f t="shared" si="1"/>
        <v>Below Target</v>
      </c>
    </row>
    <row r="116" spans="1:19" ht="27.6">
      <c r="A116" t="s">
        <v>255</v>
      </c>
      <c r="B116" s="21">
        <v>45857</v>
      </c>
      <c r="C116" t="s">
        <v>22</v>
      </c>
      <c r="D116" t="s">
        <v>68</v>
      </c>
      <c r="E116" t="s">
        <v>256</v>
      </c>
      <c r="F116" t="s">
        <v>74</v>
      </c>
      <c r="G116" t="s">
        <v>45</v>
      </c>
      <c r="H116" t="s">
        <v>44</v>
      </c>
      <c r="I116">
        <v>6</v>
      </c>
      <c r="J116">
        <v>258.62</v>
      </c>
      <c r="K116">
        <v>0.05</v>
      </c>
      <c r="L116">
        <v>1474.13</v>
      </c>
      <c r="M116">
        <v>942.45</v>
      </c>
      <c r="N116">
        <v>1298.48</v>
      </c>
      <c r="O116" s="3">
        <f>_xlfn.XLOOKUP(SalesData[[#This Row],[Product]],ProductLookup[Product],ProductLookup[Standard_Price],"Not Found")</f>
        <v>260</v>
      </c>
      <c r="P116" s="3">
        <f>SalesData[[#This Row],[Revenue]]-SalesData[[#This Row],[Cost]]</f>
        <v>531.68000000000006</v>
      </c>
      <c r="Q116" s="5">
        <f>IFERROR(SalesData[[#This Row],[Profit]]/SalesData[[#This Row],[Revenue]],0)</f>
        <v>0.36067375333247409</v>
      </c>
      <c r="R116" s="3">
        <f>SalesData[[#This Row],[Revenue]]-SalesData[[#This Row],[Target]]</f>
        <v>175.65000000000009</v>
      </c>
      <c r="S116" s="3" t="str">
        <f t="shared" si="1"/>
        <v>Above Target</v>
      </c>
    </row>
    <row r="117" spans="1:19" ht="27.6">
      <c r="A117" t="s">
        <v>257</v>
      </c>
      <c r="B117" s="21">
        <v>45974</v>
      </c>
      <c r="C117" t="s">
        <v>15</v>
      </c>
      <c r="D117" t="s">
        <v>23</v>
      </c>
      <c r="E117" t="s">
        <v>215</v>
      </c>
      <c r="F117" t="s">
        <v>74</v>
      </c>
      <c r="G117" t="s">
        <v>45</v>
      </c>
      <c r="H117" t="s">
        <v>47</v>
      </c>
      <c r="I117">
        <v>14</v>
      </c>
      <c r="J117">
        <v>418.25</v>
      </c>
      <c r="K117">
        <v>0.02</v>
      </c>
      <c r="L117">
        <v>5738.39</v>
      </c>
      <c r="M117">
        <v>4466.28</v>
      </c>
      <c r="N117">
        <v>5601.14</v>
      </c>
      <c r="O117" s="3">
        <f>_xlfn.XLOOKUP(SalesData[[#This Row],[Product]],ProductLookup[Product],ProductLookup[Standard_Price],"Not Found")</f>
        <v>420</v>
      </c>
      <c r="P117" s="3">
        <f>SalesData[[#This Row],[Revenue]]-SalesData[[#This Row],[Cost]]</f>
        <v>1272.1100000000006</v>
      </c>
      <c r="Q117" s="5">
        <f>IFERROR(SalesData[[#This Row],[Profit]]/SalesData[[#This Row],[Revenue]],0)</f>
        <v>0.22168413091476888</v>
      </c>
      <c r="R117" s="3">
        <f>SalesData[[#This Row],[Revenue]]-SalesData[[#This Row],[Target]]</f>
        <v>137.25</v>
      </c>
      <c r="S117" s="3" t="str">
        <f t="shared" si="1"/>
        <v>Above Target</v>
      </c>
    </row>
    <row r="118" spans="1:19" ht="27.6">
      <c r="A118" t="s">
        <v>258</v>
      </c>
      <c r="B118" s="21">
        <v>45845</v>
      </c>
      <c r="C118" t="s">
        <v>29</v>
      </c>
      <c r="D118" t="s">
        <v>16</v>
      </c>
      <c r="E118" t="s">
        <v>73</v>
      </c>
      <c r="F118" t="s">
        <v>32</v>
      </c>
      <c r="G118" t="s">
        <v>19</v>
      </c>
      <c r="H118" t="s">
        <v>37</v>
      </c>
      <c r="I118">
        <v>13</v>
      </c>
      <c r="J118">
        <v>1093.6199999999999</v>
      </c>
      <c r="K118">
        <v>0.08</v>
      </c>
      <c r="L118">
        <v>13079.7</v>
      </c>
      <c r="M118">
        <v>9738.64</v>
      </c>
      <c r="N118">
        <v>11637.75</v>
      </c>
      <c r="O118" s="3">
        <f>_xlfn.XLOOKUP(SalesData[[#This Row],[Product]],ProductLookup[Product],ProductLookup[Standard_Price],"Not Found")</f>
        <v>1100</v>
      </c>
      <c r="P118" s="3">
        <f>SalesData[[#This Row],[Revenue]]-SalesData[[#This Row],[Cost]]</f>
        <v>3341.0600000000013</v>
      </c>
      <c r="Q118" s="5">
        <f>IFERROR(SalesData[[#This Row],[Profit]]/SalesData[[#This Row],[Revenue]],0)</f>
        <v>0.25543858039557493</v>
      </c>
      <c r="R118" s="3">
        <f>SalesData[[#This Row],[Revenue]]-SalesData[[#This Row],[Target]]</f>
        <v>1441.9500000000007</v>
      </c>
      <c r="S118" s="3" t="str">
        <f t="shared" si="1"/>
        <v>Above Target</v>
      </c>
    </row>
    <row r="119" spans="1:19" ht="13.8">
      <c r="A119" t="s">
        <v>259</v>
      </c>
      <c r="B119" s="21">
        <v>45919</v>
      </c>
      <c r="C119" t="s">
        <v>15</v>
      </c>
      <c r="D119" t="s">
        <v>16</v>
      </c>
      <c r="E119" t="s">
        <v>260</v>
      </c>
      <c r="F119" t="s">
        <v>18</v>
      </c>
      <c r="G119" t="s">
        <v>19</v>
      </c>
      <c r="H119" t="s">
        <v>37</v>
      </c>
      <c r="I119">
        <v>1</v>
      </c>
      <c r="J119">
        <v>1127.73</v>
      </c>
      <c r="K119">
        <v>0.05</v>
      </c>
      <c r="L119">
        <v>1071.3399999999999</v>
      </c>
      <c r="M119">
        <v>796.65</v>
      </c>
      <c r="N119">
        <v>1144.42</v>
      </c>
      <c r="O119" s="3">
        <f>_xlfn.XLOOKUP(SalesData[[#This Row],[Product]],ProductLookup[Product],ProductLookup[Standard_Price],"Not Found")</f>
        <v>1100</v>
      </c>
      <c r="P119" s="3">
        <f>SalesData[[#This Row],[Revenue]]-SalesData[[#This Row],[Cost]]</f>
        <v>274.68999999999994</v>
      </c>
      <c r="Q119" s="5">
        <f>IFERROR(SalesData[[#This Row],[Profit]]/SalesData[[#This Row],[Revenue]],0)</f>
        <v>0.25639852894505943</v>
      </c>
      <c r="R119" s="3">
        <f>SalesData[[#This Row],[Revenue]]-SalesData[[#This Row],[Target]]</f>
        <v>-73.080000000000155</v>
      </c>
      <c r="S119" s="3" t="str">
        <f t="shared" si="1"/>
        <v>Below Target</v>
      </c>
    </row>
    <row r="120" spans="1:19" ht="13.8">
      <c r="A120" t="s">
        <v>261</v>
      </c>
      <c r="B120" s="21">
        <v>45757</v>
      </c>
      <c r="C120" t="s">
        <v>29</v>
      </c>
      <c r="D120" t="s">
        <v>16</v>
      </c>
      <c r="E120" t="s">
        <v>102</v>
      </c>
      <c r="F120" t="s">
        <v>32</v>
      </c>
      <c r="G120" t="s">
        <v>19</v>
      </c>
      <c r="H120" t="s">
        <v>38</v>
      </c>
      <c r="I120">
        <v>15</v>
      </c>
      <c r="J120">
        <v>949.23</v>
      </c>
      <c r="K120">
        <v>0.02</v>
      </c>
      <c r="L120">
        <v>13953.68</v>
      </c>
      <c r="M120">
        <v>10478.51</v>
      </c>
      <c r="N120">
        <v>14694.05</v>
      </c>
      <c r="O120" s="3">
        <f>_xlfn.XLOOKUP(SalesData[[#This Row],[Product]],ProductLookup[Product],ProductLookup[Standard_Price],"Not Found")</f>
        <v>950</v>
      </c>
      <c r="P120" s="3">
        <f>SalesData[[#This Row],[Revenue]]-SalesData[[#This Row],[Cost]]</f>
        <v>3475.17</v>
      </c>
      <c r="Q120" s="5">
        <f>IFERROR(SalesData[[#This Row],[Profit]]/SalesData[[#This Row],[Revenue]],0)</f>
        <v>0.24905042970743202</v>
      </c>
      <c r="R120" s="3">
        <f>SalesData[[#This Row],[Revenue]]-SalesData[[#This Row],[Target]]</f>
        <v>-740.36999999999898</v>
      </c>
      <c r="S120" s="3" t="str">
        <f t="shared" si="1"/>
        <v>Below Target</v>
      </c>
    </row>
    <row r="121" spans="1:19" ht="13.8">
      <c r="A121" t="s">
        <v>262</v>
      </c>
      <c r="B121" s="21">
        <v>45970</v>
      </c>
      <c r="C121" t="s">
        <v>29</v>
      </c>
      <c r="D121" t="s">
        <v>30</v>
      </c>
      <c r="E121" t="s">
        <v>263</v>
      </c>
      <c r="F121" t="s">
        <v>74</v>
      </c>
      <c r="G121" t="s">
        <v>45</v>
      </c>
      <c r="H121" t="s">
        <v>47</v>
      </c>
      <c r="I121">
        <v>5</v>
      </c>
      <c r="J121">
        <v>405.67</v>
      </c>
      <c r="K121">
        <v>0.08</v>
      </c>
      <c r="L121">
        <v>1866.08</v>
      </c>
      <c r="M121">
        <v>1232.54</v>
      </c>
      <c r="N121">
        <v>2007.44</v>
      </c>
      <c r="O121" s="3">
        <f>_xlfn.XLOOKUP(SalesData[[#This Row],[Product]],ProductLookup[Product],ProductLookup[Standard_Price],"Not Found")</f>
        <v>420</v>
      </c>
      <c r="P121" s="3">
        <f>SalesData[[#This Row],[Revenue]]-SalesData[[#This Row],[Cost]]</f>
        <v>633.54</v>
      </c>
      <c r="Q121" s="5">
        <f>IFERROR(SalesData[[#This Row],[Profit]]/SalesData[[#This Row],[Revenue]],0)</f>
        <v>0.339503129555003</v>
      </c>
      <c r="R121" s="3">
        <f>SalesData[[#This Row],[Revenue]]-SalesData[[#This Row],[Target]]</f>
        <v>-141.36000000000013</v>
      </c>
      <c r="S121" s="3" t="str">
        <f t="shared" si="1"/>
        <v>Below Target</v>
      </c>
    </row>
    <row r="122" spans="1:19" ht="27.6">
      <c r="A122" t="s">
        <v>264</v>
      </c>
      <c r="B122" s="21">
        <v>45764</v>
      </c>
      <c r="C122" t="s">
        <v>29</v>
      </c>
      <c r="D122" t="s">
        <v>68</v>
      </c>
      <c r="E122" t="s">
        <v>96</v>
      </c>
      <c r="F122" t="s">
        <v>32</v>
      </c>
      <c r="G122" t="s">
        <v>33</v>
      </c>
      <c r="H122" t="s">
        <v>43</v>
      </c>
      <c r="I122">
        <v>5</v>
      </c>
      <c r="J122">
        <v>75.87</v>
      </c>
      <c r="K122">
        <v>0.02</v>
      </c>
      <c r="L122">
        <v>371.76</v>
      </c>
      <c r="M122">
        <v>249.15</v>
      </c>
      <c r="N122">
        <v>330.44</v>
      </c>
      <c r="O122" s="3">
        <f>_xlfn.XLOOKUP(SalesData[[#This Row],[Product]],ProductLookup[Product],ProductLookup[Standard_Price],"Not Found")</f>
        <v>75</v>
      </c>
      <c r="P122" s="3">
        <f>SalesData[[#This Row],[Revenue]]-SalesData[[#This Row],[Cost]]</f>
        <v>122.60999999999999</v>
      </c>
      <c r="Q122" s="5">
        <f>IFERROR(SalesData[[#This Row],[Profit]]/SalesData[[#This Row],[Revenue]],0)</f>
        <v>0.32980955455132338</v>
      </c>
      <c r="R122" s="3">
        <f>SalesData[[#This Row],[Revenue]]-SalesData[[#This Row],[Target]]</f>
        <v>41.319999999999993</v>
      </c>
      <c r="S122" s="3" t="str">
        <f t="shared" si="1"/>
        <v>Above Target</v>
      </c>
    </row>
    <row r="123" spans="1:19" ht="13.8">
      <c r="A123" t="s">
        <v>265</v>
      </c>
      <c r="B123" s="21">
        <v>46005</v>
      </c>
      <c r="C123" t="s">
        <v>67</v>
      </c>
      <c r="D123" t="s">
        <v>68</v>
      </c>
      <c r="E123" t="s">
        <v>266</v>
      </c>
      <c r="F123" t="s">
        <v>18</v>
      </c>
      <c r="G123" t="s">
        <v>26</v>
      </c>
      <c r="H123" t="s">
        <v>40</v>
      </c>
      <c r="I123">
        <v>15</v>
      </c>
      <c r="J123">
        <v>444.46</v>
      </c>
      <c r="K123">
        <v>0.03</v>
      </c>
      <c r="L123">
        <v>6466.89</v>
      </c>
      <c r="M123">
        <v>4043.86</v>
      </c>
      <c r="N123">
        <v>6514.57</v>
      </c>
      <c r="O123" s="3">
        <f>_xlfn.XLOOKUP(SalesData[[#This Row],[Product]],ProductLookup[Product],ProductLookup[Standard_Price],"Not Found")</f>
        <v>450</v>
      </c>
      <c r="P123" s="3">
        <f>SalesData[[#This Row],[Revenue]]-SalesData[[#This Row],[Cost]]</f>
        <v>2423.0300000000002</v>
      </c>
      <c r="Q123" s="5">
        <f>IFERROR(SalesData[[#This Row],[Profit]]/SalesData[[#This Row],[Revenue]],0)</f>
        <v>0.37468242076175723</v>
      </c>
      <c r="R123" s="3">
        <f>SalesData[[#This Row],[Revenue]]-SalesData[[#This Row],[Target]]</f>
        <v>-47.679999999999382</v>
      </c>
      <c r="S123" s="3" t="str">
        <f t="shared" si="1"/>
        <v>Below Target</v>
      </c>
    </row>
    <row r="124" spans="1:19" ht="27.6">
      <c r="A124" t="s">
        <v>267</v>
      </c>
      <c r="B124" s="21">
        <v>45787</v>
      </c>
      <c r="C124" t="s">
        <v>67</v>
      </c>
      <c r="D124" t="s">
        <v>64</v>
      </c>
      <c r="E124" t="s">
        <v>69</v>
      </c>
      <c r="F124" t="s">
        <v>32</v>
      </c>
      <c r="G124" t="s">
        <v>33</v>
      </c>
      <c r="H124" t="s">
        <v>42</v>
      </c>
      <c r="I124">
        <v>11</v>
      </c>
      <c r="J124">
        <v>62.14</v>
      </c>
      <c r="K124">
        <v>0.1</v>
      </c>
      <c r="L124">
        <v>615.19000000000005</v>
      </c>
      <c r="M124">
        <v>477.07</v>
      </c>
      <c r="N124">
        <v>580.46</v>
      </c>
      <c r="O124" s="3">
        <f>_xlfn.XLOOKUP(SalesData[[#This Row],[Product]],ProductLookup[Product],ProductLookup[Standard_Price],"Not Found")</f>
        <v>60</v>
      </c>
      <c r="P124" s="3">
        <f>SalesData[[#This Row],[Revenue]]-SalesData[[#This Row],[Cost]]</f>
        <v>138.12000000000006</v>
      </c>
      <c r="Q124" s="5">
        <f>IFERROR(SalesData[[#This Row],[Profit]]/SalesData[[#This Row],[Revenue]],0)</f>
        <v>0.22451600318600765</v>
      </c>
      <c r="R124" s="3">
        <f>SalesData[[#This Row],[Revenue]]-SalesData[[#This Row],[Target]]</f>
        <v>34.730000000000018</v>
      </c>
      <c r="S124" s="3" t="str">
        <f t="shared" si="1"/>
        <v>Above Target</v>
      </c>
    </row>
    <row r="125" spans="1:19" ht="13.8">
      <c r="A125" t="s">
        <v>268</v>
      </c>
      <c r="B125" s="21">
        <v>45827</v>
      </c>
      <c r="C125" t="s">
        <v>67</v>
      </c>
      <c r="D125" t="s">
        <v>64</v>
      </c>
      <c r="E125" t="s">
        <v>188</v>
      </c>
      <c r="F125" t="s">
        <v>32</v>
      </c>
      <c r="G125" t="s">
        <v>45</v>
      </c>
      <c r="H125" t="s">
        <v>47</v>
      </c>
      <c r="I125">
        <v>2</v>
      </c>
      <c r="J125">
        <v>417.58</v>
      </c>
      <c r="K125">
        <v>0.02</v>
      </c>
      <c r="L125">
        <v>818.46</v>
      </c>
      <c r="M125">
        <v>601.88</v>
      </c>
      <c r="N125">
        <v>908.42</v>
      </c>
      <c r="O125" s="3">
        <f>_xlfn.XLOOKUP(SalesData[[#This Row],[Product]],ProductLookup[Product],ProductLookup[Standard_Price],"Not Found")</f>
        <v>420</v>
      </c>
      <c r="P125" s="3">
        <f>SalesData[[#This Row],[Revenue]]-SalesData[[#This Row],[Cost]]</f>
        <v>216.58000000000004</v>
      </c>
      <c r="Q125" s="5">
        <f>IFERROR(SalesData[[#This Row],[Profit]]/SalesData[[#This Row],[Revenue]],0)</f>
        <v>0.26461891845661367</v>
      </c>
      <c r="R125" s="3">
        <f>SalesData[[#This Row],[Revenue]]-SalesData[[#This Row],[Target]]</f>
        <v>-89.959999999999923</v>
      </c>
      <c r="S125" s="3" t="str">
        <f t="shared" si="1"/>
        <v>Below Target</v>
      </c>
    </row>
    <row r="126" spans="1:19" ht="13.8">
      <c r="A126" t="s">
        <v>269</v>
      </c>
      <c r="B126" s="21">
        <v>45985</v>
      </c>
      <c r="C126" t="s">
        <v>29</v>
      </c>
      <c r="D126" t="s">
        <v>23</v>
      </c>
      <c r="E126" t="s">
        <v>270</v>
      </c>
      <c r="F126" t="s">
        <v>74</v>
      </c>
      <c r="G126" t="s">
        <v>33</v>
      </c>
      <c r="H126" t="s">
        <v>43</v>
      </c>
      <c r="I126">
        <v>15</v>
      </c>
      <c r="J126">
        <v>76.23</v>
      </c>
      <c r="K126">
        <v>0.03</v>
      </c>
      <c r="L126">
        <v>1109.1500000000001</v>
      </c>
      <c r="M126">
        <v>844.36</v>
      </c>
      <c r="N126">
        <v>1174.93</v>
      </c>
      <c r="O126" s="3">
        <f>_xlfn.XLOOKUP(SalesData[[#This Row],[Product]],ProductLookup[Product],ProductLookup[Standard_Price],"Not Found")</f>
        <v>75</v>
      </c>
      <c r="P126" s="3">
        <f>SalesData[[#This Row],[Revenue]]-SalesData[[#This Row],[Cost]]</f>
        <v>264.79000000000008</v>
      </c>
      <c r="Q126" s="5">
        <f>IFERROR(SalesData[[#This Row],[Profit]]/SalesData[[#This Row],[Revenue]],0)</f>
        <v>0.2387323626200244</v>
      </c>
      <c r="R126" s="3">
        <f>SalesData[[#This Row],[Revenue]]-SalesData[[#This Row],[Target]]</f>
        <v>-65.779999999999973</v>
      </c>
      <c r="S126" s="3" t="str">
        <f t="shared" si="1"/>
        <v>Below Target</v>
      </c>
    </row>
    <row r="127" spans="1:19" ht="13.8">
      <c r="A127" t="s">
        <v>271</v>
      </c>
      <c r="B127" s="21">
        <v>45871</v>
      </c>
      <c r="C127" t="s">
        <v>15</v>
      </c>
      <c r="D127" t="s">
        <v>16</v>
      </c>
      <c r="E127" t="s">
        <v>143</v>
      </c>
      <c r="F127" t="s">
        <v>18</v>
      </c>
      <c r="G127" t="s">
        <v>33</v>
      </c>
      <c r="H127" t="s">
        <v>42</v>
      </c>
      <c r="I127">
        <v>6</v>
      </c>
      <c r="J127">
        <v>62.37</v>
      </c>
      <c r="K127">
        <v>0.02</v>
      </c>
      <c r="L127">
        <v>366.74</v>
      </c>
      <c r="M127">
        <v>259.45</v>
      </c>
      <c r="N127">
        <v>376.64</v>
      </c>
      <c r="O127" s="3">
        <f>_xlfn.XLOOKUP(SalesData[[#This Row],[Product]],ProductLookup[Product],ProductLookup[Standard_Price],"Not Found")</f>
        <v>60</v>
      </c>
      <c r="P127" s="3">
        <f>SalesData[[#This Row],[Revenue]]-SalesData[[#This Row],[Cost]]</f>
        <v>107.29000000000002</v>
      </c>
      <c r="Q127" s="5">
        <f>IFERROR(SalesData[[#This Row],[Profit]]/SalesData[[#This Row],[Revenue]],0)</f>
        <v>0.29255058079293239</v>
      </c>
      <c r="R127" s="3">
        <f>SalesData[[#This Row],[Revenue]]-SalesData[[#This Row],[Target]]</f>
        <v>-9.8999999999999773</v>
      </c>
      <c r="S127" s="3" t="str">
        <f t="shared" si="1"/>
        <v>Below Target</v>
      </c>
    </row>
    <row r="128" spans="1:19" ht="27.6">
      <c r="A128" t="s">
        <v>272</v>
      </c>
      <c r="B128" s="21">
        <v>45948</v>
      </c>
      <c r="C128" t="s">
        <v>67</v>
      </c>
      <c r="D128" t="s">
        <v>64</v>
      </c>
      <c r="E128" t="s">
        <v>273</v>
      </c>
      <c r="F128" t="s">
        <v>25</v>
      </c>
      <c r="G128" t="s">
        <v>26</v>
      </c>
      <c r="H128" t="s">
        <v>40</v>
      </c>
      <c r="I128">
        <v>5</v>
      </c>
      <c r="J128">
        <v>432.29</v>
      </c>
      <c r="K128">
        <v>0.03</v>
      </c>
      <c r="L128">
        <v>2096.61</v>
      </c>
      <c r="M128">
        <v>1504.33</v>
      </c>
      <c r="N128">
        <v>2052.9499999999998</v>
      </c>
      <c r="O128" s="3">
        <f>_xlfn.XLOOKUP(SalesData[[#This Row],[Product]],ProductLookup[Product],ProductLookup[Standard_Price],"Not Found")</f>
        <v>450</v>
      </c>
      <c r="P128" s="3">
        <f>SalesData[[#This Row],[Revenue]]-SalesData[[#This Row],[Cost]]</f>
        <v>592.2800000000002</v>
      </c>
      <c r="Q128" s="5">
        <f>IFERROR(SalesData[[#This Row],[Profit]]/SalesData[[#This Row],[Revenue]],0)</f>
        <v>0.28249412146274233</v>
      </c>
      <c r="R128" s="3">
        <f>SalesData[[#This Row],[Revenue]]-SalesData[[#This Row],[Target]]</f>
        <v>43.660000000000309</v>
      </c>
      <c r="S128" s="3" t="str">
        <f t="shared" si="1"/>
        <v>Above Target</v>
      </c>
    </row>
    <row r="129" spans="1:19" ht="13.8">
      <c r="A129" t="s">
        <v>274</v>
      </c>
      <c r="B129" s="21">
        <v>45845</v>
      </c>
      <c r="C129" t="s">
        <v>29</v>
      </c>
      <c r="D129" t="s">
        <v>68</v>
      </c>
      <c r="E129" t="s">
        <v>71</v>
      </c>
      <c r="F129" t="s">
        <v>18</v>
      </c>
      <c r="G129" t="s">
        <v>33</v>
      </c>
      <c r="H129" t="s">
        <v>43</v>
      </c>
      <c r="I129">
        <v>14</v>
      </c>
      <c r="J129">
        <v>74.81</v>
      </c>
      <c r="K129">
        <v>0.02</v>
      </c>
      <c r="L129">
        <v>1026.3900000000001</v>
      </c>
      <c r="M129">
        <v>619.02</v>
      </c>
      <c r="N129">
        <v>1100.6600000000001</v>
      </c>
      <c r="O129" s="3">
        <f>_xlfn.XLOOKUP(SalesData[[#This Row],[Product]],ProductLookup[Product],ProductLookup[Standard_Price],"Not Found")</f>
        <v>75</v>
      </c>
      <c r="P129" s="3">
        <f>SalesData[[#This Row],[Revenue]]-SalesData[[#This Row],[Cost]]</f>
        <v>407.37000000000012</v>
      </c>
      <c r="Q129" s="5">
        <f>IFERROR(SalesData[[#This Row],[Profit]]/SalesData[[#This Row],[Revenue]],0)</f>
        <v>0.39689591675678842</v>
      </c>
      <c r="R129" s="3">
        <f>SalesData[[#This Row],[Revenue]]-SalesData[[#This Row],[Target]]</f>
        <v>-74.269999999999982</v>
      </c>
      <c r="S129" s="3" t="str">
        <f t="shared" si="1"/>
        <v>Below Target</v>
      </c>
    </row>
    <row r="130" spans="1:19" ht="27.6">
      <c r="A130" t="s">
        <v>275</v>
      </c>
      <c r="B130" s="21">
        <v>45984</v>
      </c>
      <c r="C130" t="s">
        <v>15</v>
      </c>
      <c r="D130" t="s">
        <v>16</v>
      </c>
      <c r="E130" t="s">
        <v>197</v>
      </c>
      <c r="F130" t="s">
        <v>32</v>
      </c>
      <c r="G130" t="s">
        <v>19</v>
      </c>
      <c r="H130" t="s">
        <v>38</v>
      </c>
      <c r="I130">
        <v>14</v>
      </c>
      <c r="J130">
        <v>965.72</v>
      </c>
      <c r="K130">
        <v>0.03</v>
      </c>
      <c r="L130">
        <v>13114.48</v>
      </c>
      <c r="M130">
        <v>9028.4</v>
      </c>
      <c r="N130">
        <v>12372.43</v>
      </c>
      <c r="O130" s="3">
        <f>_xlfn.XLOOKUP(SalesData[[#This Row],[Product]],ProductLookup[Product],ProductLookup[Standard_Price],"Not Found")</f>
        <v>950</v>
      </c>
      <c r="P130" s="3">
        <f>SalesData[[#This Row],[Revenue]]-SalesData[[#This Row],[Cost]]</f>
        <v>4086.08</v>
      </c>
      <c r="Q130" s="5">
        <f>IFERROR(SalesData[[#This Row],[Profit]]/SalesData[[#This Row],[Revenue]],0)</f>
        <v>0.31157011181533695</v>
      </c>
      <c r="R130" s="3">
        <f>SalesData[[#This Row],[Revenue]]-SalesData[[#This Row],[Target]]</f>
        <v>742.04999999999927</v>
      </c>
      <c r="S130" s="3" t="str">
        <f t="shared" ref="S130:S193" si="2">IF(R130&gt;=0,"Above Target","Below Target")</f>
        <v>Above Target</v>
      </c>
    </row>
    <row r="131" spans="1:19" ht="27.6">
      <c r="A131" t="s">
        <v>276</v>
      </c>
      <c r="B131" s="21">
        <v>45962</v>
      </c>
      <c r="C131" t="s">
        <v>15</v>
      </c>
      <c r="D131" t="s">
        <v>16</v>
      </c>
      <c r="E131" t="s">
        <v>277</v>
      </c>
      <c r="F131" t="s">
        <v>18</v>
      </c>
      <c r="G131" t="s">
        <v>45</v>
      </c>
      <c r="H131" t="s">
        <v>44</v>
      </c>
      <c r="I131">
        <v>10</v>
      </c>
      <c r="J131">
        <v>258.54000000000002</v>
      </c>
      <c r="K131">
        <v>0.08</v>
      </c>
      <c r="L131">
        <v>2378.5700000000002</v>
      </c>
      <c r="M131">
        <v>1810.98</v>
      </c>
      <c r="N131">
        <v>2235</v>
      </c>
      <c r="O131" s="3">
        <f>_xlfn.XLOOKUP(SalesData[[#This Row],[Product]],ProductLookup[Product],ProductLookup[Standard_Price],"Not Found")</f>
        <v>260</v>
      </c>
      <c r="P131" s="3">
        <f>SalesData[[#This Row],[Revenue]]-SalesData[[#This Row],[Cost]]</f>
        <v>567.59000000000015</v>
      </c>
      <c r="Q131" s="5">
        <f>IFERROR(SalesData[[#This Row],[Profit]]/SalesData[[#This Row],[Revenue]],0)</f>
        <v>0.23862656974568758</v>
      </c>
      <c r="R131" s="3">
        <f>SalesData[[#This Row],[Revenue]]-SalesData[[#This Row],[Target]]</f>
        <v>143.57000000000016</v>
      </c>
      <c r="S131" s="3" t="str">
        <f t="shared" si="2"/>
        <v>Above Target</v>
      </c>
    </row>
    <row r="132" spans="1:19" ht="13.8">
      <c r="A132" t="s">
        <v>278</v>
      </c>
      <c r="B132" s="21">
        <v>45865</v>
      </c>
      <c r="C132" t="s">
        <v>29</v>
      </c>
      <c r="D132" t="s">
        <v>23</v>
      </c>
      <c r="E132" t="s">
        <v>226</v>
      </c>
      <c r="F132" t="s">
        <v>25</v>
      </c>
      <c r="G132" t="s">
        <v>19</v>
      </c>
      <c r="H132" t="s">
        <v>38</v>
      </c>
      <c r="I132">
        <v>4</v>
      </c>
      <c r="J132">
        <v>917.63</v>
      </c>
      <c r="K132">
        <v>0</v>
      </c>
      <c r="L132">
        <v>3670.52</v>
      </c>
      <c r="M132">
        <v>2212.2800000000002</v>
      </c>
      <c r="N132">
        <v>3715.38</v>
      </c>
      <c r="O132" s="3">
        <f>_xlfn.XLOOKUP(SalesData[[#This Row],[Product]],ProductLookup[Product],ProductLookup[Standard_Price],"Not Found")</f>
        <v>950</v>
      </c>
      <c r="P132" s="3">
        <f>SalesData[[#This Row],[Revenue]]-SalesData[[#This Row],[Cost]]</f>
        <v>1458.2399999999998</v>
      </c>
      <c r="Q132" s="5">
        <f>IFERROR(SalesData[[#This Row],[Profit]]/SalesData[[#This Row],[Revenue]],0)</f>
        <v>0.39728430849035007</v>
      </c>
      <c r="R132" s="3">
        <f>SalesData[[#This Row],[Revenue]]-SalesData[[#This Row],[Target]]</f>
        <v>-44.860000000000127</v>
      </c>
      <c r="S132" s="3" t="str">
        <f t="shared" si="2"/>
        <v>Below Target</v>
      </c>
    </row>
    <row r="133" spans="1:19" ht="13.8">
      <c r="A133" t="s">
        <v>279</v>
      </c>
      <c r="B133" s="21">
        <v>45923</v>
      </c>
      <c r="C133" t="s">
        <v>67</v>
      </c>
      <c r="D133" t="s">
        <v>16</v>
      </c>
      <c r="E133" t="s">
        <v>104</v>
      </c>
      <c r="F133" t="s">
        <v>18</v>
      </c>
      <c r="G133" t="s">
        <v>33</v>
      </c>
      <c r="H133" t="s">
        <v>43</v>
      </c>
      <c r="I133">
        <v>11</v>
      </c>
      <c r="J133">
        <v>75.05</v>
      </c>
      <c r="K133">
        <v>0.1</v>
      </c>
      <c r="L133">
        <v>743</v>
      </c>
      <c r="M133">
        <v>513.67999999999995</v>
      </c>
      <c r="N133">
        <v>763.18</v>
      </c>
      <c r="O133" s="3">
        <f>_xlfn.XLOOKUP(SalesData[[#This Row],[Product]],ProductLookup[Product],ProductLookup[Standard_Price],"Not Found")</f>
        <v>75</v>
      </c>
      <c r="P133" s="3">
        <f>SalesData[[#This Row],[Revenue]]-SalesData[[#This Row],[Cost]]</f>
        <v>229.32000000000005</v>
      </c>
      <c r="Q133" s="5">
        <f>IFERROR(SalesData[[#This Row],[Profit]]/SalesData[[#This Row],[Revenue]],0)</f>
        <v>0.30864064602960978</v>
      </c>
      <c r="R133" s="3">
        <f>SalesData[[#This Row],[Revenue]]-SalesData[[#This Row],[Target]]</f>
        <v>-20.17999999999995</v>
      </c>
      <c r="S133" s="3" t="str">
        <f t="shared" si="2"/>
        <v>Below Target</v>
      </c>
    </row>
    <row r="134" spans="1:19" ht="27.6">
      <c r="A134" t="s">
        <v>280</v>
      </c>
      <c r="B134" s="21">
        <v>45902</v>
      </c>
      <c r="C134" t="s">
        <v>22</v>
      </c>
      <c r="D134" t="s">
        <v>23</v>
      </c>
      <c r="E134" t="s">
        <v>106</v>
      </c>
      <c r="F134" t="s">
        <v>18</v>
      </c>
      <c r="G134" t="s">
        <v>45</v>
      </c>
      <c r="H134" t="s">
        <v>46</v>
      </c>
      <c r="I134">
        <v>9</v>
      </c>
      <c r="J134">
        <v>323.22000000000003</v>
      </c>
      <c r="K134">
        <v>0.05</v>
      </c>
      <c r="L134">
        <v>2763.53</v>
      </c>
      <c r="M134">
        <v>2111.17</v>
      </c>
      <c r="N134">
        <v>2740.49</v>
      </c>
      <c r="O134" s="3">
        <f>_xlfn.XLOOKUP(SalesData[[#This Row],[Product]],ProductLookup[Product],ProductLookup[Standard_Price],"Not Found")</f>
        <v>340</v>
      </c>
      <c r="P134" s="3">
        <f>SalesData[[#This Row],[Revenue]]-SalesData[[#This Row],[Cost]]</f>
        <v>652.36000000000013</v>
      </c>
      <c r="Q134" s="5">
        <f>IFERROR(SalesData[[#This Row],[Profit]]/SalesData[[#This Row],[Revenue]],0)</f>
        <v>0.23606040100885464</v>
      </c>
      <c r="R134" s="3">
        <f>SalesData[[#This Row],[Revenue]]-SalesData[[#This Row],[Target]]</f>
        <v>23.040000000000418</v>
      </c>
      <c r="S134" s="3" t="str">
        <f t="shared" si="2"/>
        <v>Above Target</v>
      </c>
    </row>
    <row r="135" spans="1:19" ht="13.8">
      <c r="A135" t="s">
        <v>281</v>
      </c>
      <c r="B135" s="21">
        <v>45791</v>
      </c>
      <c r="C135" t="s">
        <v>67</v>
      </c>
      <c r="D135" t="s">
        <v>82</v>
      </c>
      <c r="E135" t="s">
        <v>143</v>
      </c>
      <c r="F135" t="s">
        <v>32</v>
      </c>
      <c r="G135" t="s">
        <v>26</v>
      </c>
      <c r="H135" t="s">
        <v>39</v>
      </c>
      <c r="I135">
        <v>11</v>
      </c>
      <c r="J135">
        <v>209.85</v>
      </c>
      <c r="K135">
        <v>0.03</v>
      </c>
      <c r="L135">
        <v>2239.1</v>
      </c>
      <c r="M135">
        <v>1782.5</v>
      </c>
      <c r="N135">
        <v>2467.58</v>
      </c>
      <c r="O135" s="3">
        <f>_xlfn.XLOOKUP(SalesData[[#This Row],[Product]],ProductLookup[Product],ProductLookup[Standard_Price],"Not Found")</f>
        <v>220</v>
      </c>
      <c r="P135" s="3">
        <f>SalesData[[#This Row],[Revenue]]-SalesData[[#This Row],[Cost]]</f>
        <v>456.59999999999991</v>
      </c>
      <c r="Q135" s="5">
        <f>IFERROR(SalesData[[#This Row],[Profit]]/SalesData[[#This Row],[Revenue]],0)</f>
        <v>0.20392121834665711</v>
      </c>
      <c r="R135" s="3">
        <f>SalesData[[#This Row],[Revenue]]-SalesData[[#This Row],[Target]]</f>
        <v>-228.48000000000002</v>
      </c>
      <c r="S135" s="3" t="str">
        <f t="shared" si="2"/>
        <v>Below Target</v>
      </c>
    </row>
    <row r="136" spans="1:19" ht="27.6">
      <c r="A136" t="s">
        <v>282</v>
      </c>
      <c r="B136" s="21">
        <v>45983</v>
      </c>
      <c r="C136" t="s">
        <v>29</v>
      </c>
      <c r="D136" t="s">
        <v>16</v>
      </c>
      <c r="E136" t="s">
        <v>283</v>
      </c>
      <c r="F136" t="s">
        <v>18</v>
      </c>
      <c r="G136" t="s">
        <v>33</v>
      </c>
      <c r="H136" t="s">
        <v>42</v>
      </c>
      <c r="I136">
        <v>11</v>
      </c>
      <c r="J136">
        <v>59.62</v>
      </c>
      <c r="K136">
        <v>0.08</v>
      </c>
      <c r="L136">
        <v>603.35</v>
      </c>
      <c r="M136">
        <v>491.02</v>
      </c>
      <c r="N136">
        <v>573.75</v>
      </c>
      <c r="O136" s="3">
        <f>_xlfn.XLOOKUP(SalesData[[#This Row],[Product]],ProductLookup[Product],ProductLookup[Standard_Price],"Not Found")</f>
        <v>60</v>
      </c>
      <c r="P136" s="3">
        <f>SalesData[[#This Row],[Revenue]]-SalesData[[#This Row],[Cost]]</f>
        <v>112.33000000000004</v>
      </c>
      <c r="Q136" s="5">
        <f>IFERROR(SalesData[[#This Row],[Profit]]/SalesData[[#This Row],[Revenue]],0)</f>
        <v>0.18617717742603801</v>
      </c>
      <c r="R136" s="3">
        <f>SalesData[[#This Row],[Revenue]]-SalesData[[#This Row],[Target]]</f>
        <v>29.600000000000023</v>
      </c>
      <c r="S136" s="3" t="str">
        <f t="shared" si="2"/>
        <v>Above Target</v>
      </c>
    </row>
    <row r="137" spans="1:19" ht="27.6">
      <c r="A137" t="s">
        <v>284</v>
      </c>
      <c r="B137" s="21">
        <v>45744</v>
      </c>
      <c r="C137" t="s">
        <v>67</v>
      </c>
      <c r="D137" t="s">
        <v>23</v>
      </c>
      <c r="E137" t="s">
        <v>283</v>
      </c>
      <c r="F137" t="s">
        <v>74</v>
      </c>
      <c r="G137" t="s">
        <v>26</v>
      </c>
      <c r="H137" t="s">
        <v>27</v>
      </c>
      <c r="I137">
        <v>15</v>
      </c>
      <c r="J137">
        <v>311.56</v>
      </c>
      <c r="K137">
        <v>0.1</v>
      </c>
      <c r="L137">
        <v>4206.0600000000004</v>
      </c>
      <c r="M137">
        <v>2711.27</v>
      </c>
      <c r="N137">
        <v>3862.02</v>
      </c>
      <c r="O137" s="3">
        <f>_xlfn.XLOOKUP(SalesData[[#This Row],[Product]],ProductLookup[Product],ProductLookup[Standard_Price],"Not Found")</f>
        <v>320</v>
      </c>
      <c r="P137" s="3">
        <f>SalesData[[#This Row],[Revenue]]-SalesData[[#This Row],[Cost]]</f>
        <v>1494.7900000000004</v>
      </c>
      <c r="Q137" s="5">
        <f>IFERROR(SalesData[[#This Row],[Profit]]/SalesData[[#This Row],[Revenue]],0)</f>
        <v>0.35538960452299784</v>
      </c>
      <c r="R137" s="3">
        <f>SalesData[[#This Row],[Revenue]]-SalesData[[#This Row],[Target]]</f>
        <v>344.04000000000042</v>
      </c>
      <c r="S137" s="3" t="str">
        <f t="shared" si="2"/>
        <v>Above Target</v>
      </c>
    </row>
    <row r="138" spans="1:19" ht="13.8">
      <c r="A138" t="s">
        <v>285</v>
      </c>
      <c r="B138" s="21">
        <v>45826</v>
      </c>
      <c r="C138" t="s">
        <v>22</v>
      </c>
      <c r="D138" t="s">
        <v>68</v>
      </c>
      <c r="E138" t="s">
        <v>150</v>
      </c>
      <c r="F138" t="s">
        <v>18</v>
      </c>
      <c r="G138" t="s">
        <v>33</v>
      </c>
      <c r="H138" t="s">
        <v>43</v>
      </c>
      <c r="I138">
        <v>4</v>
      </c>
      <c r="J138">
        <v>74.099999999999994</v>
      </c>
      <c r="K138">
        <v>0.1</v>
      </c>
      <c r="L138">
        <v>266.76</v>
      </c>
      <c r="M138">
        <v>214.15</v>
      </c>
      <c r="N138">
        <v>297.60000000000002</v>
      </c>
      <c r="O138" s="3">
        <f>_xlfn.XLOOKUP(SalesData[[#This Row],[Product]],ProductLookup[Product],ProductLookup[Standard_Price],"Not Found")</f>
        <v>75</v>
      </c>
      <c r="P138" s="3">
        <f>SalesData[[#This Row],[Revenue]]-SalesData[[#This Row],[Cost]]</f>
        <v>52.609999999999985</v>
      </c>
      <c r="Q138" s="5">
        <f>IFERROR(SalesData[[#This Row],[Profit]]/SalesData[[#This Row],[Revenue]],0)</f>
        <v>0.19721847353426297</v>
      </c>
      <c r="R138" s="3">
        <f>SalesData[[#This Row],[Revenue]]-SalesData[[#This Row],[Target]]</f>
        <v>-30.840000000000032</v>
      </c>
      <c r="S138" s="3" t="str">
        <f t="shared" si="2"/>
        <v>Below Target</v>
      </c>
    </row>
    <row r="139" spans="1:19" ht="27.6">
      <c r="A139" t="s">
        <v>286</v>
      </c>
      <c r="B139" s="21">
        <v>45671</v>
      </c>
      <c r="C139" t="s">
        <v>15</v>
      </c>
      <c r="D139" t="s">
        <v>64</v>
      </c>
      <c r="E139" t="s">
        <v>111</v>
      </c>
      <c r="F139" t="s">
        <v>25</v>
      </c>
      <c r="G139" t="s">
        <v>33</v>
      </c>
      <c r="H139" t="s">
        <v>34</v>
      </c>
      <c r="I139">
        <v>12</v>
      </c>
      <c r="J139">
        <v>34.07</v>
      </c>
      <c r="K139">
        <v>0.03</v>
      </c>
      <c r="L139">
        <v>396.57</v>
      </c>
      <c r="M139">
        <v>306.8</v>
      </c>
      <c r="N139">
        <v>386.25</v>
      </c>
      <c r="O139" s="3">
        <f>_xlfn.XLOOKUP(SalesData[[#This Row],[Product]],ProductLookup[Product],ProductLookup[Standard_Price],"Not Found")</f>
        <v>35</v>
      </c>
      <c r="P139" s="3">
        <f>SalesData[[#This Row],[Revenue]]-SalesData[[#This Row],[Cost]]</f>
        <v>89.769999999999982</v>
      </c>
      <c r="Q139" s="5">
        <f>IFERROR(SalesData[[#This Row],[Profit]]/SalesData[[#This Row],[Revenue]],0)</f>
        <v>0.22636608921501875</v>
      </c>
      <c r="R139" s="3">
        <f>SalesData[[#This Row],[Revenue]]-SalesData[[#This Row],[Target]]</f>
        <v>10.319999999999993</v>
      </c>
      <c r="S139" s="3" t="str">
        <f t="shared" si="2"/>
        <v>Above Target</v>
      </c>
    </row>
    <row r="140" spans="1:19" ht="27.6">
      <c r="A140" t="s">
        <v>287</v>
      </c>
      <c r="B140" s="21">
        <v>45732</v>
      </c>
      <c r="C140" t="s">
        <v>29</v>
      </c>
      <c r="D140" t="s">
        <v>82</v>
      </c>
      <c r="E140" t="s">
        <v>98</v>
      </c>
      <c r="F140" t="s">
        <v>18</v>
      </c>
      <c r="G140" t="s">
        <v>19</v>
      </c>
      <c r="H140" t="s">
        <v>20</v>
      </c>
      <c r="I140">
        <v>1</v>
      </c>
      <c r="J140">
        <v>817.01</v>
      </c>
      <c r="K140">
        <v>0.08</v>
      </c>
      <c r="L140">
        <v>751.65</v>
      </c>
      <c r="M140">
        <v>604.6</v>
      </c>
      <c r="N140">
        <v>723.66</v>
      </c>
      <c r="O140" s="3">
        <f>_xlfn.XLOOKUP(SalesData[[#This Row],[Product]],ProductLookup[Product],ProductLookup[Standard_Price],"Not Found")</f>
        <v>850</v>
      </c>
      <c r="P140" s="3">
        <f>SalesData[[#This Row],[Revenue]]-SalesData[[#This Row],[Cost]]</f>
        <v>147.04999999999995</v>
      </c>
      <c r="Q140" s="5">
        <f>IFERROR(SalesData[[#This Row],[Profit]]/SalesData[[#This Row],[Revenue]],0)</f>
        <v>0.19563626687953165</v>
      </c>
      <c r="R140" s="3">
        <f>SalesData[[#This Row],[Revenue]]-SalesData[[#This Row],[Target]]</f>
        <v>27.990000000000009</v>
      </c>
      <c r="S140" s="3" t="str">
        <f t="shared" si="2"/>
        <v>Above Target</v>
      </c>
    </row>
    <row r="141" spans="1:19" ht="13.8">
      <c r="A141" t="s">
        <v>288</v>
      </c>
      <c r="B141" s="21">
        <v>45679</v>
      </c>
      <c r="C141" t="s">
        <v>15</v>
      </c>
      <c r="D141" t="s">
        <v>64</v>
      </c>
      <c r="E141" t="s">
        <v>289</v>
      </c>
      <c r="F141" t="s">
        <v>32</v>
      </c>
      <c r="G141" t="s">
        <v>19</v>
      </c>
      <c r="H141" t="s">
        <v>38</v>
      </c>
      <c r="I141">
        <v>12</v>
      </c>
      <c r="J141">
        <v>963.64</v>
      </c>
      <c r="K141">
        <v>0</v>
      </c>
      <c r="L141">
        <v>11563.68</v>
      </c>
      <c r="M141">
        <v>8711.4</v>
      </c>
      <c r="N141">
        <v>12220.83</v>
      </c>
      <c r="O141" s="3">
        <f>_xlfn.XLOOKUP(SalesData[[#This Row],[Product]],ProductLookup[Product],ProductLookup[Standard_Price],"Not Found")</f>
        <v>950</v>
      </c>
      <c r="P141" s="3">
        <f>SalesData[[#This Row],[Revenue]]-SalesData[[#This Row],[Cost]]</f>
        <v>2852.2800000000007</v>
      </c>
      <c r="Q141" s="5">
        <f>IFERROR(SalesData[[#This Row],[Profit]]/SalesData[[#This Row],[Revenue]],0)</f>
        <v>0.24665850317545976</v>
      </c>
      <c r="R141" s="3">
        <f>SalesData[[#This Row],[Revenue]]-SalesData[[#This Row],[Target]]</f>
        <v>-657.14999999999964</v>
      </c>
      <c r="S141" s="3" t="str">
        <f t="shared" si="2"/>
        <v>Below Target</v>
      </c>
    </row>
    <row r="142" spans="1:19" ht="27.6">
      <c r="A142" t="s">
        <v>290</v>
      </c>
      <c r="B142" s="21">
        <v>45760</v>
      </c>
      <c r="C142" t="s">
        <v>29</v>
      </c>
      <c r="D142" t="s">
        <v>23</v>
      </c>
      <c r="E142" t="s">
        <v>100</v>
      </c>
      <c r="F142" t="s">
        <v>18</v>
      </c>
      <c r="G142" t="s">
        <v>33</v>
      </c>
      <c r="H142" t="s">
        <v>42</v>
      </c>
      <c r="I142">
        <v>15</v>
      </c>
      <c r="J142">
        <v>60.98</v>
      </c>
      <c r="K142">
        <v>0.1</v>
      </c>
      <c r="L142">
        <v>823.23</v>
      </c>
      <c r="M142">
        <v>664.97</v>
      </c>
      <c r="N142">
        <v>745.61</v>
      </c>
      <c r="O142" s="3">
        <f>_xlfn.XLOOKUP(SalesData[[#This Row],[Product]],ProductLookup[Product],ProductLookup[Standard_Price],"Not Found")</f>
        <v>60</v>
      </c>
      <c r="P142" s="3">
        <f>SalesData[[#This Row],[Revenue]]-SalesData[[#This Row],[Cost]]</f>
        <v>158.26</v>
      </c>
      <c r="Q142" s="5">
        <f>IFERROR(SalesData[[#This Row],[Profit]]/SalesData[[#This Row],[Revenue]],0)</f>
        <v>0.19224275111451233</v>
      </c>
      <c r="R142" s="3">
        <f>SalesData[[#This Row],[Revenue]]-SalesData[[#This Row],[Target]]</f>
        <v>77.62</v>
      </c>
      <c r="S142" s="3" t="str">
        <f t="shared" si="2"/>
        <v>Above Target</v>
      </c>
    </row>
    <row r="143" spans="1:19" ht="27.6">
      <c r="A143" t="s">
        <v>291</v>
      </c>
      <c r="B143" s="21">
        <v>45675</v>
      </c>
      <c r="C143" t="s">
        <v>29</v>
      </c>
      <c r="D143" t="s">
        <v>16</v>
      </c>
      <c r="E143" t="s">
        <v>108</v>
      </c>
      <c r="F143" t="s">
        <v>25</v>
      </c>
      <c r="G143" t="s">
        <v>45</v>
      </c>
      <c r="H143" t="s">
        <v>47</v>
      </c>
      <c r="I143">
        <v>13</v>
      </c>
      <c r="J143">
        <v>425.64</v>
      </c>
      <c r="K143">
        <v>0.1</v>
      </c>
      <c r="L143">
        <v>4979.99</v>
      </c>
      <c r="M143">
        <v>3680.7</v>
      </c>
      <c r="N143">
        <v>4952.6400000000003</v>
      </c>
      <c r="O143" s="3">
        <f>_xlfn.XLOOKUP(SalesData[[#This Row],[Product]],ProductLookup[Product],ProductLookup[Standard_Price],"Not Found")</f>
        <v>420</v>
      </c>
      <c r="P143" s="3">
        <f>SalesData[[#This Row],[Revenue]]-SalesData[[#This Row],[Cost]]</f>
        <v>1299.29</v>
      </c>
      <c r="Q143" s="5">
        <f>IFERROR(SalesData[[#This Row],[Profit]]/SalesData[[#This Row],[Revenue]],0)</f>
        <v>0.26090213032556292</v>
      </c>
      <c r="R143" s="3">
        <f>SalesData[[#This Row],[Revenue]]-SalesData[[#This Row],[Target]]</f>
        <v>27.349999999999454</v>
      </c>
      <c r="S143" s="3" t="str">
        <f t="shared" si="2"/>
        <v>Above Target</v>
      </c>
    </row>
    <row r="144" spans="1:19" ht="13.8">
      <c r="A144" t="s">
        <v>292</v>
      </c>
      <c r="B144" s="21">
        <v>45808</v>
      </c>
      <c r="C144" t="s">
        <v>15</v>
      </c>
      <c r="D144" t="s">
        <v>82</v>
      </c>
      <c r="E144" t="s">
        <v>289</v>
      </c>
      <c r="F144" t="s">
        <v>32</v>
      </c>
      <c r="G144" t="s">
        <v>26</v>
      </c>
      <c r="H144" t="s">
        <v>40</v>
      </c>
      <c r="I144">
        <v>6</v>
      </c>
      <c r="J144">
        <v>446.57</v>
      </c>
      <c r="K144">
        <v>0</v>
      </c>
      <c r="L144">
        <v>2679.42</v>
      </c>
      <c r="M144">
        <v>1814.5</v>
      </c>
      <c r="N144">
        <v>2956</v>
      </c>
      <c r="O144" s="3">
        <f>_xlfn.XLOOKUP(SalesData[[#This Row],[Product]],ProductLookup[Product],ProductLookup[Standard_Price],"Not Found")</f>
        <v>450</v>
      </c>
      <c r="P144" s="3">
        <f>SalesData[[#This Row],[Revenue]]-SalesData[[#This Row],[Cost]]</f>
        <v>864.92000000000007</v>
      </c>
      <c r="Q144" s="5">
        <f>IFERROR(SalesData[[#This Row],[Profit]]/SalesData[[#This Row],[Revenue]],0)</f>
        <v>0.32280120324547851</v>
      </c>
      <c r="R144" s="3">
        <f>SalesData[[#This Row],[Revenue]]-SalesData[[#This Row],[Target]]</f>
        <v>-276.57999999999993</v>
      </c>
      <c r="S144" s="3" t="str">
        <f t="shared" si="2"/>
        <v>Below Target</v>
      </c>
    </row>
    <row r="145" spans="1:19" ht="27.6">
      <c r="A145" t="s">
        <v>293</v>
      </c>
      <c r="B145" s="21">
        <v>45822</v>
      </c>
      <c r="C145" t="s">
        <v>22</v>
      </c>
      <c r="D145" t="s">
        <v>16</v>
      </c>
      <c r="E145" t="s">
        <v>113</v>
      </c>
      <c r="F145" t="s">
        <v>18</v>
      </c>
      <c r="G145" t="s">
        <v>45</v>
      </c>
      <c r="H145" t="s">
        <v>47</v>
      </c>
      <c r="I145">
        <v>10</v>
      </c>
      <c r="J145">
        <v>420.16</v>
      </c>
      <c r="K145">
        <v>0.03</v>
      </c>
      <c r="L145">
        <v>4075.55</v>
      </c>
      <c r="M145">
        <v>2999.69</v>
      </c>
      <c r="N145">
        <v>3616.79</v>
      </c>
      <c r="O145" s="3">
        <f>_xlfn.XLOOKUP(SalesData[[#This Row],[Product]],ProductLookup[Product],ProductLookup[Standard_Price],"Not Found")</f>
        <v>420</v>
      </c>
      <c r="P145" s="3">
        <f>SalesData[[#This Row],[Revenue]]-SalesData[[#This Row],[Cost]]</f>
        <v>1075.8600000000001</v>
      </c>
      <c r="Q145" s="5">
        <f>IFERROR(SalesData[[#This Row],[Profit]]/SalesData[[#This Row],[Revenue]],0)</f>
        <v>0.26397909484609439</v>
      </c>
      <c r="R145" s="3">
        <f>SalesData[[#This Row],[Revenue]]-SalesData[[#This Row],[Target]]</f>
        <v>458.76000000000022</v>
      </c>
      <c r="S145" s="3" t="str">
        <f t="shared" si="2"/>
        <v>Above Target</v>
      </c>
    </row>
    <row r="146" spans="1:19" ht="13.8">
      <c r="A146" t="s">
        <v>294</v>
      </c>
      <c r="B146" s="21">
        <v>45835</v>
      </c>
      <c r="C146" t="s">
        <v>15</v>
      </c>
      <c r="D146" t="s">
        <v>64</v>
      </c>
      <c r="E146" t="s">
        <v>89</v>
      </c>
      <c r="F146" t="s">
        <v>32</v>
      </c>
      <c r="G146" t="s">
        <v>33</v>
      </c>
      <c r="H146" t="s">
        <v>41</v>
      </c>
      <c r="I146">
        <v>12</v>
      </c>
      <c r="J146">
        <v>81.16</v>
      </c>
      <c r="K146">
        <v>0.08</v>
      </c>
      <c r="L146">
        <v>896.01</v>
      </c>
      <c r="M146">
        <v>580.29999999999995</v>
      </c>
      <c r="N146">
        <v>973.91</v>
      </c>
      <c r="O146" s="3">
        <f>_xlfn.XLOOKUP(SalesData[[#This Row],[Product]],ProductLookup[Product],ProductLookup[Standard_Price],"Not Found")</f>
        <v>85</v>
      </c>
      <c r="P146" s="3">
        <f>SalesData[[#This Row],[Revenue]]-SalesData[[#This Row],[Cost]]</f>
        <v>315.71000000000004</v>
      </c>
      <c r="Q146" s="5">
        <f>IFERROR(SalesData[[#This Row],[Profit]]/SalesData[[#This Row],[Revenue]],0)</f>
        <v>0.3523509782256895</v>
      </c>
      <c r="R146" s="3">
        <f>SalesData[[#This Row],[Revenue]]-SalesData[[#This Row],[Target]]</f>
        <v>-77.899999999999977</v>
      </c>
      <c r="S146" s="3" t="str">
        <f t="shared" si="2"/>
        <v>Below Target</v>
      </c>
    </row>
    <row r="147" spans="1:19" ht="13.8">
      <c r="A147" t="s">
        <v>295</v>
      </c>
      <c r="B147" s="21">
        <v>45745</v>
      </c>
      <c r="C147" t="s">
        <v>15</v>
      </c>
      <c r="D147" t="s">
        <v>30</v>
      </c>
      <c r="E147" t="s">
        <v>170</v>
      </c>
      <c r="F147" t="s">
        <v>18</v>
      </c>
      <c r="G147" t="s">
        <v>33</v>
      </c>
      <c r="H147" t="s">
        <v>34</v>
      </c>
      <c r="I147">
        <v>1</v>
      </c>
      <c r="J147">
        <v>35.08</v>
      </c>
      <c r="K147">
        <v>0.03</v>
      </c>
      <c r="L147">
        <v>34.03</v>
      </c>
      <c r="M147">
        <v>26.12</v>
      </c>
      <c r="N147">
        <v>37.93</v>
      </c>
      <c r="O147" s="3">
        <f>_xlfn.XLOOKUP(SalesData[[#This Row],[Product]],ProductLookup[Product],ProductLookup[Standard_Price],"Not Found")</f>
        <v>35</v>
      </c>
      <c r="P147" s="3">
        <f>SalesData[[#This Row],[Revenue]]-SalesData[[#This Row],[Cost]]</f>
        <v>7.91</v>
      </c>
      <c r="Q147" s="5">
        <f>IFERROR(SalesData[[#This Row],[Profit]]/SalesData[[#This Row],[Revenue]],0)</f>
        <v>0.23244196297384659</v>
      </c>
      <c r="R147" s="3">
        <f>SalesData[[#This Row],[Revenue]]-SalesData[[#This Row],[Target]]</f>
        <v>-3.8999999999999986</v>
      </c>
      <c r="S147" s="3" t="str">
        <f t="shared" si="2"/>
        <v>Below Target</v>
      </c>
    </row>
    <row r="148" spans="1:19" ht="13.8">
      <c r="A148" t="s">
        <v>296</v>
      </c>
      <c r="B148" s="21">
        <v>45909</v>
      </c>
      <c r="C148" t="s">
        <v>67</v>
      </c>
      <c r="D148" t="s">
        <v>64</v>
      </c>
      <c r="E148" t="s">
        <v>96</v>
      </c>
      <c r="F148" t="s">
        <v>32</v>
      </c>
      <c r="G148" t="s">
        <v>45</v>
      </c>
      <c r="H148" t="s">
        <v>46</v>
      </c>
      <c r="I148">
        <v>13</v>
      </c>
      <c r="J148">
        <v>351.06</v>
      </c>
      <c r="K148">
        <v>0.05</v>
      </c>
      <c r="L148">
        <v>4335.59</v>
      </c>
      <c r="M148">
        <v>3166.55</v>
      </c>
      <c r="N148">
        <v>4811.33</v>
      </c>
      <c r="O148" s="3">
        <f>_xlfn.XLOOKUP(SalesData[[#This Row],[Product]],ProductLookup[Product],ProductLookup[Standard_Price],"Not Found")</f>
        <v>340</v>
      </c>
      <c r="P148" s="3">
        <f>SalesData[[#This Row],[Revenue]]-SalesData[[#This Row],[Cost]]</f>
        <v>1169.04</v>
      </c>
      <c r="Q148" s="5">
        <f>IFERROR(SalesData[[#This Row],[Profit]]/SalesData[[#This Row],[Revenue]],0)</f>
        <v>0.26963804234256467</v>
      </c>
      <c r="R148" s="3">
        <f>SalesData[[#This Row],[Revenue]]-SalesData[[#This Row],[Target]]</f>
        <v>-475.73999999999978</v>
      </c>
      <c r="S148" s="3" t="str">
        <f t="shared" si="2"/>
        <v>Below Target</v>
      </c>
    </row>
    <row r="149" spans="1:19" ht="13.8">
      <c r="A149" t="s">
        <v>297</v>
      </c>
      <c r="B149" s="21">
        <v>45767</v>
      </c>
      <c r="C149" t="s">
        <v>22</v>
      </c>
      <c r="D149" t="s">
        <v>82</v>
      </c>
      <c r="E149" t="s">
        <v>266</v>
      </c>
      <c r="F149" t="s">
        <v>18</v>
      </c>
      <c r="G149" t="s">
        <v>45</v>
      </c>
      <c r="H149" t="s">
        <v>46</v>
      </c>
      <c r="I149">
        <v>4</v>
      </c>
      <c r="J149">
        <v>339.94</v>
      </c>
      <c r="K149">
        <v>0</v>
      </c>
      <c r="L149">
        <v>1359.76</v>
      </c>
      <c r="M149">
        <v>1096.67</v>
      </c>
      <c r="N149">
        <v>1446.83</v>
      </c>
      <c r="O149" s="3">
        <f>_xlfn.XLOOKUP(SalesData[[#This Row],[Product]],ProductLookup[Product],ProductLookup[Standard_Price],"Not Found")</f>
        <v>340</v>
      </c>
      <c r="P149" s="3">
        <f>SalesData[[#This Row],[Revenue]]-SalesData[[#This Row],[Cost]]</f>
        <v>263.08999999999992</v>
      </c>
      <c r="Q149" s="5">
        <f>IFERROR(SalesData[[#This Row],[Profit]]/SalesData[[#This Row],[Revenue]],0)</f>
        <v>0.19348267341295516</v>
      </c>
      <c r="R149" s="3">
        <f>SalesData[[#This Row],[Revenue]]-SalesData[[#This Row],[Target]]</f>
        <v>-87.069999999999936</v>
      </c>
      <c r="S149" s="3" t="str">
        <f t="shared" si="2"/>
        <v>Below Target</v>
      </c>
    </row>
    <row r="150" spans="1:19" ht="13.8">
      <c r="A150" t="s">
        <v>298</v>
      </c>
      <c r="B150" s="21">
        <v>45979</v>
      </c>
      <c r="C150" t="s">
        <v>22</v>
      </c>
      <c r="D150" t="s">
        <v>82</v>
      </c>
      <c r="E150" t="s">
        <v>98</v>
      </c>
      <c r="F150" t="s">
        <v>32</v>
      </c>
      <c r="G150" t="s">
        <v>26</v>
      </c>
      <c r="H150" t="s">
        <v>40</v>
      </c>
      <c r="I150">
        <v>6</v>
      </c>
      <c r="J150">
        <v>431.78</v>
      </c>
      <c r="K150">
        <v>0.05</v>
      </c>
      <c r="L150">
        <v>2461.15</v>
      </c>
      <c r="M150">
        <v>1959.58</v>
      </c>
      <c r="N150">
        <v>2606</v>
      </c>
      <c r="O150" s="3">
        <f>_xlfn.XLOOKUP(SalesData[[#This Row],[Product]],ProductLookup[Product],ProductLookup[Standard_Price],"Not Found")</f>
        <v>450</v>
      </c>
      <c r="P150" s="3">
        <f>SalesData[[#This Row],[Revenue]]-SalesData[[#This Row],[Cost]]</f>
        <v>501.57000000000016</v>
      </c>
      <c r="Q150" s="5">
        <f>IFERROR(SalesData[[#This Row],[Profit]]/SalesData[[#This Row],[Revenue]],0)</f>
        <v>0.20379497389431775</v>
      </c>
      <c r="R150" s="3">
        <f>SalesData[[#This Row],[Revenue]]-SalesData[[#This Row],[Target]]</f>
        <v>-144.84999999999991</v>
      </c>
      <c r="S150" s="3" t="str">
        <f t="shared" si="2"/>
        <v>Below Target</v>
      </c>
    </row>
    <row r="151" spans="1:19" ht="27.6">
      <c r="A151" t="s">
        <v>299</v>
      </c>
      <c r="B151" s="21">
        <v>45763</v>
      </c>
      <c r="C151" t="s">
        <v>29</v>
      </c>
      <c r="D151" t="s">
        <v>68</v>
      </c>
      <c r="E151" t="s">
        <v>115</v>
      </c>
      <c r="F151" t="s">
        <v>18</v>
      </c>
      <c r="G151" t="s">
        <v>26</v>
      </c>
      <c r="H151" t="s">
        <v>27</v>
      </c>
      <c r="I151">
        <v>5</v>
      </c>
      <c r="J151">
        <v>317.7</v>
      </c>
      <c r="K151">
        <v>0.08</v>
      </c>
      <c r="L151">
        <v>1461.42</v>
      </c>
      <c r="M151">
        <v>1037.99</v>
      </c>
      <c r="N151">
        <v>1419.09</v>
      </c>
      <c r="O151" s="3">
        <f>_xlfn.XLOOKUP(SalesData[[#This Row],[Product]],ProductLookup[Product],ProductLookup[Standard_Price],"Not Found")</f>
        <v>320</v>
      </c>
      <c r="P151" s="3">
        <f>SalesData[[#This Row],[Revenue]]-SalesData[[#This Row],[Cost]]</f>
        <v>423.43000000000006</v>
      </c>
      <c r="Q151" s="5">
        <f>IFERROR(SalesData[[#This Row],[Profit]]/SalesData[[#This Row],[Revenue]],0)</f>
        <v>0.28973874724582943</v>
      </c>
      <c r="R151" s="3">
        <f>SalesData[[#This Row],[Revenue]]-SalesData[[#This Row],[Target]]</f>
        <v>42.330000000000155</v>
      </c>
      <c r="S151" s="3" t="str">
        <f t="shared" si="2"/>
        <v>Above Target</v>
      </c>
    </row>
    <row r="152" spans="1:19" ht="13.8">
      <c r="A152" t="s">
        <v>300</v>
      </c>
      <c r="B152" s="21">
        <v>45836</v>
      </c>
      <c r="C152" t="s">
        <v>29</v>
      </c>
      <c r="D152" t="s">
        <v>68</v>
      </c>
      <c r="E152" t="s">
        <v>213</v>
      </c>
      <c r="F152" t="s">
        <v>32</v>
      </c>
      <c r="G152" t="s">
        <v>33</v>
      </c>
      <c r="H152" t="s">
        <v>43</v>
      </c>
      <c r="I152">
        <v>6</v>
      </c>
      <c r="J152">
        <v>75.16</v>
      </c>
      <c r="K152">
        <v>0.05</v>
      </c>
      <c r="L152">
        <v>428.41</v>
      </c>
      <c r="M152">
        <v>319.45</v>
      </c>
      <c r="N152">
        <v>453.29</v>
      </c>
      <c r="O152" s="3">
        <f>_xlfn.XLOOKUP(SalesData[[#This Row],[Product]],ProductLookup[Product],ProductLookup[Standard_Price],"Not Found")</f>
        <v>75</v>
      </c>
      <c r="P152" s="3">
        <f>SalesData[[#This Row],[Revenue]]-SalesData[[#This Row],[Cost]]</f>
        <v>108.96000000000004</v>
      </c>
      <c r="Q152" s="5">
        <f>IFERROR(SalesData[[#This Row],[Profit]]/SalesData[[#This Row],[Revenue]],0)</f>
        <v>0.25433579981793147</v>
      </c>
      <c r="R152" s="3">
        <f>SalesData[[#This Row],[Revenue]]-SalesData[[#This Row],[Target]]</f>
        <v>-24.879999999999995</v>
      </c>
      <c r="S152" s="3" t="str">
        <f t="shared" si="2"/>
        <v>Below Target</v>
      </c>
    </row>
    <row r="153" spans="1:19" ht="27.6">
      <c r="A153" t="s">
        <v>301</v>
      </c>
      <c r="B153" s="21">
        <v>45954</v>
      </c>
      <c r="C153" t="s">
        <v>29</v>
      </c>
      <c r="D153" t="s">
        <v>30</v>
      </c>
      <c r="E153" t="s">
        <v>104</v>
      </c>
      <c r="F153" t="s">
        <v>25</v>
      </c>
      <c r="G153" t="s">
        <v>26</v>
      </c>
      <c r="H153" t="s">
        <v>39</v>
      </c>
      <c r="I153">
        <v>3</v>
      </c>
      <c r="J153">
        <v>216.35</v>
      </c>
      <c r="K153">
        <v>0.1</v>
      </c>
      <c r="L153">
        <v>584.14</v>
      </c>
      <c r="M153">
        <v>464.23</v>
      </c>
      <c r="N153">
        <v>547.4</v>
      </c>
      <c r="O153" s="3">
        <f>_xlfn.XLOOKUP(SalesData[[#This Row],[Product]],ProductLookup[Product],ProductLookup[Standard_Price],"Not Found")</f>
        <v>220</v>
      </c>
      <c r="P153" s="3">
        <f>SalesData[[#This Row],[Revenue]]-SalesData[[#This Row],[Cost]]</f>
        <v>119.90999999999997</v>
      </c>
      <c r="Q153" s="5">
        <f>IFERROR(SalesData[[#This Row],[Profit]]/SalesData[[#This Row],[Revenue]],0)</f>
        <v>0.2052761324340055</v>
      </c>
      <c r="R153" s="3">
        <f>SalesData[[#This Row],[Revenue]]-SalesData[[#This Row],[Target]]</f>
        <v>36.740000000000009</v>
      </c>
      <c r="S153" s="3" t="str">
        <f t="shared" si="2"/>
        <v>Above Target</v>
      </c>
    </row>
    <row r="154" spans="1:19" ht="27.6">
      <c r="A154" t="s">
        <v>302</v>
      </c>
      <c r="B154" s="21">
        <v>45737</v>
      </c>
      <c r="C154" t="s">
        <v>29</v>
      </c>
      <c r="D154" t="s">
        <v>30</v>
      </c>
      <c r="E154" t="s">
        <v>303</v>
      </c>
      <c r="F154" t="s">
        <v>18</v>
      </c>
      <c r="G154" t="s">
        <v>26</v>
      </c>
      <c r="H154" t="s">
        <v>39</v>
      </c>
      <c r="I154">
        <v>12</v>
      </c>
      <c r="J154">
        <v>216.18</v>
      </c>
      <c r="K154">
        <v>0.08</v>
      </c>
      <c r="L154">
        <v>2386.63</v>
      </c>
      <c r="M154">
        <v>1615.03</v>
      </c>
      <c r="N154">
        <v>2235.54</v>
      </c>
      <c r="O154" s="3">
        <f>_xlfn.XLOOKUP(SalesData[[#This Row],[Product]],ProductLookup[Product],ProductLookup[Standard_Price],"Not Found")</f>
        <v>220</v>
      </c>
      <c r="P154" s="3">
        <f>SalesData[[#This Row],[Revenue]]-SalesData[[#This Row],[Cost]]</f>
        <v>771.60000000000014</v>
      </c>
      <c r="Q154" s="5">
        <f>IFERROR(SalesData[[#This Row],[Profit]]/SalesData[[#This Row],[Revenue]],0)</f>
        <v>0.32330105630114431</v>
      </c>
      <c r="R154" s="3">
        <f>SalesData[[#This Row],[Revenue]]-SalesData[[#This Row],[Target]]</f>
        <v>151.09000000000015</v>
      </c>
      <c r="S154" s="3" t="str">
        <f t="shared" si="2"/>
        <v>Above Target</v>
      </c>
    </row>
    <row r="155" spans="1:19" ht="13.8">
      <c r="A155" t="s">
        <v>304</v>
      </c>
      <c r="B155" s="21">
        <v>45742</v>
      </c>
      <c r="C155" t="s">
        <v>67</v>
      </c>
      <c r="D155" t="s">
        <v>68</v>
      </c>
      <c r="E155" t="s">
        <v>305</v>
      </c>
      <c r="F155" t="s">
        <v>25</v>
      </c>
      <c r="G155" t="s">
        <v>45</v>
      </c>
      <c r="H155" t="s">
        <v>44</v>
      </c>
      <c r="I155">
        <v>2</v>
      </c>
      <c r="J155">
        <v>252.08</v>
      </c>
      <c r="K155">
        <v>0.02</v>
      </c>
      <c r="L155">
        <v>494.08</v>
      </c>
      <c r="M155">
        <v>403.39</v>
      </c>
      <c r="N155">
        <v>529.04999999999995</v>
      </c>
      <c r="O155" s="3">
        <f>_xlfn.XLOOKUP(SalesData[[#This Row],[Product]],ProductLookup[Product],ProductLookup[Standard_Price],"Not Found")</f>
        <v>260</v>
      </c>
      <c r="P155" s="3">
        <f>SalesData[[#This Row],[Revenue]]-SalesData[[#This Row],[Cost]]</f>
        <v>90.69</v>
      </c>
      <c r="Q155" s="5">
        <f>IFERROR(SalesData[[#This Row],[Profit]]/SalesData[[#This Row],[Revenue]],0)</f>
        <v>0.1835532707253886</v>
      </c>
      <c r="R155" s="3">
        <f>SalesData[[#This Row],[Revenue]]-SalesData[[#This Row],[Target]]</f>
        <v>-34.96999999999997</v>
      </c>
      <c r="S155" s="3" t="str">
        <f t="shared" si="2"/>
        <v>Below Target</v>
      </c>
    </row>
    <row r="156" spans="1:19" ht="27.6">
      <c r="A156" t="s">
        <v>306</v>
      </c>
      <c r="B156" s="21">
        <v>45713</v>
      </c>
      <c r="C156" t="s">
        <v>15</v>
      </c>
      <c r="D156" t="s">
        <v>68</v>
      </c>
      <c r="E156" t="s">
        <v>307</v>
      </c>
      <c r="F156" t="s">
        <v>74</v>
      </c>
      <c r="G156" t="s">
        <v>45</v>
      </c>
      <c r="H156" t="s">
        <v>44</v>
      </c>
      <c r="I156">
        <v>15</v>
      </c>
      <c r="J156">
        <v>249.78</v>
      </c>
      <c r="K156">
        <v>0.02</v>
      </c>
      <c r="L156">
        <v>3671.77</v>
      </c>
      <c r="M156">
        <v>2918.16</v>
      </c>
      <c r="N156">
        <v>3639.97</v>
      </c>
      <c r="O156" s="3">
        <f>_xlfn.XLOOKUP(SalesData[[#This Row],[Product]],ProductLookup[Product],ProductLookup[Standard_Price],"Not Found")</f>
        <v>260</v>
      </c>
      <c r="P156" s="3">
        <f>SalesData[[#This Row],[Revenue]]-SalesData[[#This Row],[Cost]]</f>
        <v>753.61000000000013</v>
      </c>
      <c r="Q156" s="5">
        <f>IFERROR(SalesData[[#This Row],[Profit]]/SalesData[[#This Row],[Revenue]],0)</f>
        <v>0.20524433719977017</v>
      </c>
      <c r="R156" s="3">
        <f>SalesData[[#This Row],[Revenue]]-SalesData[[#This Row],[Target]]</f>
        <v>31.800000000000182</v>
      </c>
      <c r="S156" s="3" t="str">
        <f t="shared" si="2"/>
        <v>Above Target</v>
      </c>
    </row>
    <row r="157" spans="1:19" ht="27.6">
      <c r="A157" t="s">
        <v>308</v>
      </c>
      <c r="B157" s="21">
        <v>46013</v>
      </c>
      <c r="C157" t="s">
        <v>22</v>
      </c>
      <c r="D157" t="s">
        <v>16</v>
      </c>
      <c r="E157" t="s">
        <v>87</v>
      </c>
      <c r="F157" t="s">
        <v>25</v>
      </c>
      <c r="G157" t="s">
        <v>26</v>
      </c>
      <c r="H157" t="s">
        <v>39</v>
      </c>
      <c r="I157">
        <v>9</v>
      </c>
      <c r="J157">
        <v>230.58</v>
      </c>
      <c r="K157">
        <v>0.03</v>
      </c>
      <c r="L157">
        <v>2012.96</v>
      </c>
      <c r="M157">
        <v>1412.94</v>
      </c>
      <c r="N157">
        <v>1839.92</v>
      </c>
      <c r="O157" s="3">
        <f>_xlfn.XLOOKUP(SalesData[[#This Row],[Product]],ProductLookup[Product],ProductLookup[Standard_Price],"Not Found")</f>
        <v>220</v>
      </c>
      <c r="P157" s="3">
        <f>SalesData[[#This Row],[Revenue]]-SalesData[[#This Row],[Cost]]</f>
        <v>600.02</v>
      </c>
      <c r="Q157" s="5">
        <f>IFERROR(SalesData[[#This Row],[Profit]]/SalesData[[#This Row],[Revenue]],0)</f>
        <v>0.29807845163341545</v>
      </c>
      <c r="R157" s="3">
        <f>SalesData[[#This Row],[Revenue]]-SalesData[[#This Row],[Target]]</f>
        <v>173.03999999999996</v>
      </c>
      <c r="S157" s="3" t="str">
        <f t="shared" si="2"/>
        <v>Above Target</v>
      </c>
    </row>
    <row r="158" spans="1:19" ht="27.6">
      <c r="A158" t="s">
        <v>309</v>
      </c>
      <c r="B158" s="21">
        <v>45878</v>
      </c>
      <c r="C158" t="s">
        <v>29</v>
      </c>
      <c r="D158" t="s">
        <v>82</v>
      </c>
      <c r="E158" t="s">
        <v>310</v>
      </c>
      <c r="F158" t="s">
        <v>18</v>
      </c>
      <c r="G158" t="s">
        <v>45</v>
      </c>
      <c r="H158" t="s">
        <v>46</v>
      </c>
      <c r="I158">
        <v>10</v>
      </c>
      <c r="J158">
        <v>342.97</v>
      </c>
      <c r="K158">
        <v>0.1</v>
      </c>
      <c r="L158">
        <v>3086.73</v>
      </c>
      <c r="M158">
        <v>2138.04</v>
      </c>
      <c r="N158">
        <v>2885.65</v>
      </c>
      <c r="O158" s="3">
        <f>_xlfn.XLOOKUP(SalesData[[#This Row],[Product]],ProductLookup[Product],ProductLookup[Standard_Price],"Not Found")</f>
        <v>340</v>
      </c>
      <c r="P158" s="3">
        <f>SalesData[[#This Row],[Revenue]]-SalesData[[#This Row],[Cost]]</f>
        <v>948.69</v>
      </c>
      <c r="Q158" s="5">
        <f>IFERROR(SalesData[[#This Row],[Profit]]/SalesData[[#This Row],[Revenue]],0)</f>
        <v>0.30734466571420244</v>
      </c>
      <c r="R158" s="3">
        <f>SalesData[[#This Row],[Revenue]]-SalesData[[#This Row],[Target]]</f>
        <v>201.07999999999993</v>
      </c>
      <c r="S158" s="3" t="str">
        <f t="shared" si="2"/>
        <v>Above Target</v>
      </c>
    </row>
    <row r="159" spans="1:19" ht="27.6">
      <c r="A159" t="s">
        <v>311</v>
      </c>
      <c r="B159" s="21">
        <v>45890</v>
      </c>
      <c r="C159" t="s">
        <v>22</v>
      </c>
      <c r="D159" t="s">
        <v>82</v>
      </c>
      <c r="E159" t="s">
        <v>312</v>
      </c>
      <c r="F159" t="s">
        <v>25</v>
      </c>
      <c r="G159" t="s">
        <v>33</v>
      </c>
      <c r="H159" t="s">
        <v>34</v>
      </c>
      <c r="I159">
        <v>6</v>
      </c>
      <c r="J159">
        <v>34.159999999999997</v>
      </c>
      <c r="K159">
        <v>0.1</v>
      </c>
      <c r="L159">
        <v>184.46</v>
      </c>
      <c r="M159">
        <v>114.65</v>
      </c>
      <c r="N159">
        <v>180.9</v>
      </c>
      <c r="O159" s="3">
        <f>_xlfn.XLOOKUP(SalesData[[#This Row],[Product]],ProductLookup[Product],ProductLookup[Standard_Price],"Not Found")</f>
        <v>35</v>
      </c>
      <c r="P159" s="3">
        <f>SalesData[[#This Row],[Revenue]]-SalesData[[#This Row],[Cost]]</f>
        <v>69.81</v>
      </c>
      <c r="Q159" s="5">
        <f>IFERROR(SalesData[[#This Row],[Profit]]/SalesData[[#This Row],[Revenue]],0)</f>
        <v>0.37845603382847232</v>
      </c>
      <c r="R159" s="3">
        <f>SalesData[[#This Row],[Revenue]]-SalesData[[#This Row],[Target]]</f>
        <v>3.5600000000000023</v>
      </c>
      <c r="S159" s="3" t="str">
        <f t="shared" si="2"/>
        <v>Above Target</v>
      </c>
    </row>
    <row r="160" spans="1:19" ht="13.8">
      <c r="A160" t="s">
        <v>313</v>
      </c>
      <c r="B160" s="21">
        <v>45786</v>
      </c>
      <c r="C160" t="s">
        <v>29</v>
      </c>
      <c r="D160" t="s">
        <v>82</v>
      </c>
      <c r="E160" t="s">
        <v>120</v>
      </c>
      <c r="F160" t="s">
        <v>18</v>
      </c>
      <c r="G160" t="s">
        <v>33</v>
      </c>
      <c r="H160" t="s">
        <v>34</v>
      </c>
      <c r="I160">
        <v>8</v>
      </c>
      <c r="J160">
        <v>34.840000000000003</v>
      </c>
      <c r="K160">
        <v>0.08</v>
      </c>
      <c r="L160">
        <v>256.42</v>
      </c>
      <c r="M160">
        <v>202.28</v>
      </c>
      <c r="N160">
        <v>257.54000000000002</v>
      </c>
      <c r="O160" s="3">
        <f>_xlfn.XLOOKUP(SalesData[[#This Row],[Product]],ProductLookup[Product],ProductLookup[Standard_Price],"Not Found")</f>
        <v>35</v>
      </c>
      <c r="P160" s="3">
        <f>SalesData[[#This Row],[Revenue]]-SalesData[[#This Row],[Cost]]</f>
        <v>54.140000000000015</v>
      </c>
      <c r="Q160" s="5">
        <f>IFERROR(SalesData[[#This Row],[Profit]]/SalesData[[#This Row],[Revenue]],0)</f>
        <v>0.21113797675688328</v>
      </c>
      <c r="R160" s="3">
        <f>SalesData[[#This Row],[Revenue]]-SalesData[[#This Row],[Target]]</f>
        <v>-1.1200000000000045</v>
      </c>
      <c r="S160" s="3" t="str">
        <f t="shared" si="2"/>
        <v>Below Target</v>
      </c>
    </row>
    <row r="161" spans="1:19" ht="27.6">
      <c r="A161" t="s">
        <v>314</v>
      </c>
      <c r="B161" s="21">
        <v>45857</v>
      </c>
      <c r="C161" t="s">
        <v>29</v>
      </c>
      <c r="D161" t="s">
        <v>64</v>
      </c>
      <c r="E161" t="s">
        <v>145</v>
      </c>
      <c r="F161" t="s">
        <v>18</v>
      </c>
      <c r="G161" t="s">
        <v>33</v>
      </c>
      <c r="H161" t="s">
        <v>41</v>
      </c>
      <c r="I161">
        <v>15</v>
      </c>
      <c r="J161">
        <v>89.03</v>
      </c>
      <c r="K161">
        <v>0</v>
      </c>
      <c r="L161">
        <v>1335.45</v>
      </c>
      <c r="M161">
        <v>875.08</v>
      </c>
      <c r="N161">
        <v>1245.03</v>
      </c>
      <c r="O161" s="3">
        <f>_xlfn.XLOOKUP(SalesData[[#This Row],[Product]],ProductLookup[Product],ProductLookup[Standard_Price],"Not Found")</f>
        <v>85</v>
      </c>
      <c r="P161" s="3">
        <f>SalesData[[#This Row],[Revenue]]-SalesData[[#This Row],[Cost]]</f>
        <v>460.37</v>
      </c>
      <c r="Q161" s="5">
        <f>IFERROR(SalesData[[#This Row],[Profit]]/SalesData[[#This Row],[Revenue]],0)</f>
        <v>0.34473024074282077</v>
      </c>
      <c r="R161" s="3">
        <f>SalesData[[#This Row],[Revenue]]-SalesData[[#This Row],[Target]]</f>
        <v>90.420000000000073</v>
      </c>
      <c r="S161" s="3" t="str">
        <f t="shared" si="2"/>
        <v>Above Target</v>
      </c>
    </row>
    <row r="162" spans="1:19" ht="13.8">
      <c r="A162" t="s">
        <v>315</v>
      </c>
      <c r="B162" s="21">
        <v>45952</v>
      </c>
      <c r="C162" t="s">
        <v>67</v>
      </c>
      <c r="D162" t="s">
        <v>64</v>
      </c>
      <c r="E162" t="s">
        <v>316</v>
      </c>
      <c r="F162" t="s">
        <v>74</v>
      </c>
      <c r="G162" t="s">
        <v>33</v>
      </c>
      <c r="H162" t="s">
        <v>41</v>
      </c>
      <c r="I162">
        <v>9</v>
      </c>
      <c r="J162">
        <v>82.49</v>
      </c>
      <c r="K162">
        <v>0.05</v>
      </c>
      <c r="L162">
        <v>705.29</v>
      </c>
      <c r="M162">
        <v>502.65</v>
      </c>
      <c r="N162">
        <v>728.86</v>
      </c>
      <c r="O162" s="3">
        <f>_xlfn.XLOOKUP(SalesData[[#This Row],[Product]],ProductLookup[Product],ProductLookup[Standard_Price],"Not Found")</f>
        <v>85</v>
      </c>
      <c r="P162" s="3">
        <f>SalesData[[#This Row],[Revenue]]-SalesData[[#This Row],[Cost]]</f>
        <v>202.64</v>
      </c>
      <c r="Q162" s="5">
        <f>IFERROR(SalesData[[#This Row],[Profit]]/SalesData[[#This Row],[Revenue]],0)</f>
        <v>0.28731443803258233</v>
      </c>
      <c r="R162" s="3">
        <f>SalesData[[#This Row],[Revenue]]-SalesData[[#This Row],[Target]]</f>
        <v>-23.57000000000005</v>
      </c>
      <c r="S162" s="3" t="str">
        <f t="shared" si="2"/>
        <v>Below Target</v>
      </c>
    </row>
    <row r="163" spans="1:19" ht="27.6">
      <c r="A163" t="s">
        <v>317</v>
      </c>
      <c r="B163" s="21">
        <v>45891</v>
      </c>
      <c r="C163" t="s">
        <v>67</v>
      </c>
      <c r="D163" t="s">
        <v>82</v>
      </c>
      <c r="E163" t="s">
        <v>277</v>
      </c>
      <c r="F163" t="s">
        <v>32</v>
      </c>
      <c r="G163" t="s">
        <v>26</v>
      </c>
      <c r="H163" t="s">
        <v>39</v>
      </c>
      <c r="I163">
        <v>11</v>
      </c>
      <c r="J163">
        <v>213.04</v>
      </c>
      <c r="K163">
        <v>0.08</v>
      </c>
      <c r="L163">
        <v>2155.96</v>
      </c>
      <c r="M163">
        <v>1655.33</v>
      </c>
      <c r="N163">
        <v>1960.58</v>
      </c>
      <c r="O163" s="3">
        <f>_xlfn.XLOOKUP(SalesData[[#This Row],[Product]],ProductLookup[Product],ProductLookup[Standard_Price],"Not Found")</f>
        <v>220</v>
      </c>
      <c r="P163" s="3">
        <f>SalesData[[#This Row],[Revenue]]-SalesData[[#This Row],[Cost]]</f>
        <v>500.63000000000011</v>
      </c>
      <c r="Q163" s="5">
        <f>IFERROR(SalesData[[#This Row],[Profit]]/SalesData[[#This Row],[Revenue]],0)</f>
        <v>0.23220746210504839</v>
      </c>
      <c r="R163" s="3">
        <f>SalesData[[#This Row],[Revenue]]-SalesData[[#This Row],[Target]]</f>
        <v>195.38000000000011</v>
      </c>
      <c r="S163" s="3" t="str">
        <f t="shared" si="2"/>
        <v>Above Target</v>
      </c>
    </row>
    <row r="164" spans="1:19" ht="27.6">
      <c r="A164" t="s">
        <v>318</v>
      </c>
      <c r="B164" s="21">
        <v>45798</v>
      </c>
      <c r="C164" t="s">
        <v>67</v>
      </c>
      <c r="D164" t="s">
        <v>64</v>
      </c>
      <c r="E164" t="s">
        <v>228</v>
      </c>
      <c r="F164" t="s">
        <v>18</v>
      </c>
      <c r="G164" t="s">
        <v>33</v>
      </c>
      <c r="H164" t="s">
        <v>34</v>
      </c>
      <c r="I164">
        <v>7</v>
      </c>
      <c r="J164">
        <v>33.47</v>
      </c>
      <c r="K164">
        <v>0</v>
      </c>
      <c r="L164">
        <v>234.29</v>
      </c>
      <c r="M164">
        <v>162.15</v>
      </c>
      <c r="N164">
        <v>229.82</v>
      </c>
      <c r="O164" s="3">
        <f>_xlfn.XLOOKUP(SalesData[[#This Row],[Product]],ProductLookup[Product],ProductLookup[Standard_Price],"Not Found")</f>
        <v>35</v>
      </c>
      <c r="P164" s="3">
        <f>SalesData[[#This Row],[Revenue]]-SalesData[[#This Row],[Cost]]</f>
        <v>72.139999999999986</v>
      </c>
      <c r="Q164" s="5">
        <f>IFERROR(SalesData[[#This Row],[Profit]]/SalesData[[#This Row],[Revenue]],0)</f>
        <v>0.30790900166460367</v>
      </c>
      <c r="R164" s="3">
        <f>SalesData[[#This Row],[Revenue]]-SalesData[[#This Row],[Target]]</f>
        <v>4.4699999999999989</v>
      </c>
      <c r="S164" s="3" t="str">
        <f t="shared" si="2"/>
        <v>Above Target</v>
      </c>
    </row>
    <row r="165" spans="1:19" ht="13.8">
      <c r="A165" t="s">
        <v>319</v>
      </c>
      <c r="B165" s="21">
        <v>45772</v>
      </c>
      <c r="C165" t="s">
        <v>22</v>
      </c>
      <c r="D165" t="s">
        <v>68</v>
      </c>
      <c r="E165" t="s">
        <v>65</v>
      </c>
      <c r="F165" t="s">
        <v>25</v>
      </c>
      <c r="G165" t="s">
        <v>26</v>
      </c>
      <c r="H165" t="s">
        <v>27</v>
      </c>
      <c r="I165">
        <v>12</v>
      </c>
      <c r="J165">
        <v>316.82</v>
      </c>
      <c r="K165">
        <v>0.08</v>
      </c>
      <c r="L165">
        <v>3497.69</v>
      </c>
      <c r="M165">
        <v>2846.18</v>
      </c>
      <c r="N165">
        <v>3912.57</v>
      </c>
      <c r="O165" s="3">
        <f>_xlfn.XLOOKUP(SalesData[[#This Row],[Product]],ProductLookup[Product],ProductLookup[Standard_Price],"Not Found")</f>
        <v>320</v>
      </c>
      <c r="P165" s="3">
        <f>SalesData[[#This Row],[Revenue]]-SalesData[[#This Row],[Cost]]</f>
        <v>651.51000000000022</v>
      </c>
      <c r="Q165" s="5">
        <f>IFERROR(SalesData[[#This Row],[Profit]]/SalesData[[#This Row],[Revenue]],0)</f>
        <v>0.18626865159576755</v>
      </c>
      <c r="R165" s="3">
        <f>SalesData[[#This Row],[Revenue]]-SalesData[[#This Row],[Target]]</f>
        <v>-414.88000000000011</v>
      </c>
      <c r="S165" s="3" t="str">
        <f t="shared" si="2"/>
        <v>Below Target</v>
      </c>
    </row>
    <row r="166" spans="1:19" ht="13.8">
      <c r="A166" t="s">
        <v>320</v>
      </c>
      <c r="B166" s="21">
        <v>45724</v>
      </c>
      <c r="C166" t="s">
        <v>29</v>
      </c>
      <c r="D166" t="s">
        <v>23</v>
      </c>
      <c r="E166" t="s">
        <v>215</v>
      </c>
      <c r="F166" t="s">
        <v>74</v>
      </c>
      <c r="G166" t="s">
        <v>45</v>
      </c>
      <c r="H166" t="s">
        <v>47</v>
      </c>
      <c r="I166">
        <v>2</v>
      </c>
      <c r="J166">
        <v>433</v>
      </c>
      <c r="K166">
        <v>0.1</v>
      </c>
      <c r="L166">
        <v>779.4</v>
      </c>
      <c r="M166">
        <v>500.76</v>
      </c>
      <c r="N166">
        <v>806</v>
      </c>
      <c r="O166" s="3">
        <f>_xlfn.XLOOKUP(SalesData[[#This Row],[Product]],ProductLookup[Product],ProductLookup[Standard_Price],"Not Found")</f>
        <v>420</v>
      </c>
      <c r="P166" s="3">
        <f>SalesData[[#This Row],[Revenue]]-SalesData[[#This Row],[Cost]]</f>
        <v>278.64</v>
      </c>
      <c r="Q166" s="5">
        <f>IFERROR(SalesData[[#This Row],[Profit]]/SalesData[[#This Row],[Revenue]],0)</f>
        <v>0.35750577367205544</v>
      </c>
      <c r="R166" s="3">
        <f>SalesData[[#This Row],[Revenue]]-SalesData[[#This Row],[Target]]</f>
        <v>-26.600000000000023</v>
      </c>
      <c r="S166" s="3" t="str">
        <f t="shared" si="2"/>
        <v>Below Target</v>
      </c>
    </row>
    <row r="167" spans="1:19" ht="27.6">
      <c r="A167" t="s">
        <v>321</v>
      </c>
      <c r="B167" s="21">
        <v>45897</v>
      </c>
      <c r="C167" t="s">
        <v>29</v>
      </c>
      <c r="D167" t="s">
        <v>30</v>
      </c>
      <c r="E167" t="s">
        <v>322</v>
      </c>
      <c r="F167" t="s">
        <v>74</v>
      </c>
      <c r="G167" t="s">
        <v>26</v>
      </c>
      <c r="H167" t="s">
        <v>27</v>
      </c>
      <c r="I167">
        <v>13</v>
      </c>
      <c r="J167">
        <v>321.54000000000002</v>
      </c>
      <c r="K167">
        <v>0.02</v>
      </c>
      <c r="L167">
        <v>4096.42</v>
      </c>
      <c r="M167">
        <v>3160.66</v>
      </c>
      <c r="N167">
        <v>4066.34</v>
      </c>
      <c r="O167" s="3">
        <f>_xlfn.XLOOKUP(SalesData[[#This Row],[Product]],ProductLookup[Product],ProductLookup[Standard_Price],"Not Found")</f>
        <v>320</v>
      </c>
      <c r="P167" s="3">
        <f>SalesData[[#This Row],[Revenue]]-SalesData[[#This Row],[Cost]]</f>
        <v>935.76000000000022</v>
      </c>
      <c r="Q167" s="5">
        <f>IFERROR(SalesData[[#This Row],[Profit]]/SalesData[[#This Row],[Revenue]],0)</f>
        <v>0.22843360788200434</v>
      </c>
      <c r="R167" s="3">
        <f>SalesData[[#This Row],[Revenue]]-SalesData[[#This Row],[Target]]</f>
        <v>30.079999999999927</v>
      </c>
      <c r="S167" s="3" t="str">
        <f t="shared" si="2"/>
        <v>Above Target</v>
      </c>
    </row>
    <row r="168" spans="1:19" ht="13.8">
      <c r="A168" t="s">
        <v>323</v>
      </c>
      <c r="B168" s="21">
        <v>46009</v>
      </c>
      <c r="C168" t="s">
        <v>67</v>
      </c>
      <c r="D168" t="s">
        <v>30</v>
      </c>
      <c r="E168" t="s">
        <v>254</v>
      </c>
      <c r="F168" t="s">
        <v>32</v>
      </c>
      <c r="G168" t="s">
        <v>26</v>
      </c>
      <c r="H168" t="s">
        <v>27</v>
      </c>
      <c r="I168">
        <v>7</v>
      </c>
      <c r="J168">
        <v>325.72000000000003</v>
      </c>
      <c r="K168">
        <v>0.05</v>
      </c>
      <c r="L168">
        <v>2166.04</v>
      </c>
      <c r="M168">
        <v>1300.9100000000001</v>
      </c>
      <c r="N168">
        <v>2281.34</v>
      </c>
      <c r="O168" s="3">
        <f>_xlfn.XLOOKUP(SalesData[[#This Row],[Product]],ProductLookup[Product],ProductLookup[Standard_Price],"Not Found")</f>
        <v>320</v>
      </c>
      <c r="P168" s="3">
        <f>SalesData[[#This Row],[Revenue]]-SalesData[[#This Row],[Cost]]</f>
        <v>865.12999999999988</v>
      </c>
      <c r="Q168" s="5">
        <f>IFERROR(SalesData[[#This Row],[Profit]]/SalesData[[#This Row],[Revenue]],0)</f>
        <v>0.39940628981920923</v>
      </c>
      <c r="R168" s="3">
        <f>SalesData[[#This Row],[Revenue]]-SalesData[[#This Row],[Target]]</f>
        <v>-115.30000000000018</v>
      </c>
      <c r="S168" s="3" t="str">
        <f t="shared" si="2"/>
        <v>Below Target</v>
      </c>
    </row>
    <row r="169" spans="1:19" ht="13.8">
      <c r="A169" t="s">
        <v>324</v>
      </c>
      <c r="B169" s="21">
        <v>45822</v>
      </c>
      <c r="C169" t="s">
        <v>29</v>
      </c>
      <c r="D169" t="s">
        <v>30</v>
      </c>
      <c r="E169" t="s">
        <v>307</v>
      </c>
      <c r="F169" t="s">
        <v>74</v>
      </c>
      <c r="G169" t="s">
        <v>33</v>
      </c>
      <c r="H169" t="s">
        <v>41</v>
      </c>
      <c r="I169">
        <v>8</v>
      </c>
      <c r="J169">
        <v>84.39</v>
      </c>
      <c r="K169">
        <v>0.1</v>
      </c>
      <c r="L169">
        <v>607.61</v>
      </c>
      <c r="M169">
        <v>375.98</v>
      </c>
      <c r="N169">
        <v>665.51</v>
      </c>
      <c r="O169" s="3">
        <f>_xlfn.XLOOKUP(SalesData[[#This Row],[Product]],ProductLookup[Product],ProductLookup[Standard_Price],"Not Found")</f>
        <v>85</v>
      </c>
      <c r="P169" s="3">
        <f>SalesData[[#This Row],[Revenue]]-SalesData[[#This Row],[Cost]]</f>
        <v>231.63</v>
      </c>
      <c r="Q169" s="5">
        <f>IFERROR(SalesData[[#This Row],[Profit]]/SalesData[[#This Row],[Revenue]],0)</f>
        <v>0.38121492404667467</v>
      </c>
      <c r="R169" s="3">
        <f>SalesData[[#This Row],[Revenue]]-SalesData[[#This Row],[Target]]</f>
        <v>-57.899999999999977</v>
      </c>
      <c r="S169" s="3" t="str">
        <f t="shared" si="2"/>
        <v>Below Target</v>
      </c>
    </row>
    <row r="170" spans="1:19" ht="27.6">
      <c r="A170" t="s">
        <v>325</v>
      </c>
      <c r="B170" s="21">
        <v>45687</v>
      </c>
      <c r="C170" t="s">
        <v>67</v>
      </c>
      <c r="D170" t="s">
        <v>82</v>
      </c>
      <c r="E170" t="s">
        <v>326</v>
      </c>
      <c r="F170" t="s">
        <v>18</v>
      </c>
      <c r="G170" t="s">
        <v>19</v>
      </c>
      <c r="H170" t="s">
        <v>37</v>
      </c>
      <c r="I170">
        <v>14</v>
      </c>
      <c r="J170">
        <v>1107.0999999999999</v>
      </c>
      <c r="K170">
        <v>0.03</v>
      </c>
      <c r="L170">
        <v>15034.42</v>
      </c>
      <c r="M170">
        <v>11613.92</v>
      </c>
      <c r="N170">
        <v>13736.9</v>
      </c>
      <c r="O170" s="3">
        <f>_xlfn.XLOOKUP(SalesData[[#This Row],[Product]],ProductLookup[Product],ProductLookup[Standard_Price],"Not Found")</f>
        <v>1100</v>
      </c>
      <c r="P170" s="3">
        <f>SalesData[[#This Row],[Revenue]]-SalesData[[#This Row],[Cost]]</f>
        <v>3420.5</v>
      </c>
      <c r="Q170" s="5">
        <f>IFERROR(SalesData[[#This Row],[Profit]]/SalesData[[#This Row],[Revenue]],0)</f>
        <v>0.22751127080392858</v>
      </c>
      <c r="R170" s="3">
        <f>SalesData[[#This Row],[Revenue]]-SalesData[[#This Row],[Target]]</f>
        <v>1297.5200000000004</v>
      </c>
      <c r="S170" s="3" t="str">
        <f t="shared" si="2"/>
        <v>Above Target</v>
      </c>
    </row>
    <row r="171" spans="1:19" ht="13.8">
      <c r="A171" t="s">
        <v>327</v>
      </c>
      <c r="B171" s="21">
        <v>45994</v>
      </c>
      <c r="C171" t="s">
        <v>29</v>
      </c>
      <c r="D171" t="s">
        <v>23</v>
      </c>
      <c r="E171" t="s">
        <v>310</v>
      </c>
      <c r="F171" t="s">
        <v>74</v>
      </c>
      <c r="G171" t="s">
        <v>19</v>
      </c>
      <c r="H171" t="s">
        <v>20</v>
      </c>
      <c r="I171">
        <v>4</v>
      </c>
      <c r="J171">
        <v>888.4</v>
      </c>
      <c r="K171">
        <v>0.1</v>
      </c>
      <c r="L171">
        <v>3198.24</v>
      </c>
      <c r="M171">
        <v>2125.1</v>
      </c>
      <c r="N171">
        <v>3281.29</v>
      </c>
      <c r="O171" s="3">
        <f>_xlfn.XLOOKUP(SalesData[[#This Row],[Product]],ProductLookup[Product],ProductLookup[Standard_Price],"Not Found")</f>
        <v>850</v>
      </c>
      <c r="P171" s="3">
        <f>SalesData[[#This Row],[Revenue]]-SalesData[[#This Row],[Cost]]</f>
        <v>1073.1399999999999</v>
      </c>
      <c r="Q171" s="5">
        <f>IFERROR(SalesData[[#This Row],[Profit]]/SalesData[[#This Row],[Revenue]],0)</f>
        <v>0.33554079743859122</v>
      </c>
      <c r="R171" s="3">
        <f>SalesData[[#This Row],[Revenue]]-SalesData[[#This Row],[Target]]</f>
        <v>-83.050000000000182</v>
      </c>
      <c r="S171" s="3" t="str">
        <f t="shared" si="2"/>
        <v>Below Target</v>
      </c>
    </row>
    <row r="172" spans="1:19" ht="27.6">
      <c r="A172" t="s">
        <v>328</v>
      </c>
      <c r="B172" s="21">
        <v>45835</v>
      </c>
      <c r="C172" t="s">
        <v>15</v>
      </c>
      <c r="D172" t="s">
        <v>82</v>
      </c>
      <c r="E172" t="s">
        <v>94</v>
      </c>
      <c r="F172" t="s">
        <v>32</v>
      </c>
      <c r="G172" t="s">
        <v>45</v>
      </c>
      <c r="H172" t="s">
        <v>47</v>
      </c>
      <c r="I172">
        <v>3</v>
      </c>
      <c r="J172">
        <v>407.76</v>
      </c>
      <c r="K172">
        <v>0.05</v>
      </c>
      <c r="L172">
        <v>1162.1199999999999</v>
      </c>
      <c r="M172">
        <v>899.68</v>
      </c>
      <c r="N172">
        <v>1069.5</v>
      </c>
      <c r="O172" s="3">
        <f>_xlfn.XLOOKUP(SalesData[[#This Row],[Product]],ProductLookup[Product],ProductLookup[Standard_Price],"Not Found")</f>
        <v>420</v>
      </c>
      <c r="P172" s="3">
        <f>SalesData[[#This Row],[Revenue]]-SalesData[[#This Row],[Cost]]</f>
        <v>262.43999999999994</v>
      </c>
      <c r="Q172" s="5">
        <f>IFERROR(SalesData[[#This Row],[Profit]]/SalesData[[#This Row],[Revenue]],0)</f>
        <v>0.22582865796991702</v>
      </c>
      <c r="R172" s="3">
        <f>SalesData[[#This Row],[Revenue]]-SalesData[[#This Row],[Target]]</f>
        <v>92.619999999999891</v>
      </c>
      <c r="S172" s="3" t="str">
        <f t="shared" si="2"/>
        <v>Above Target</v>
      </c>
    </row>
    <row r="173" spans="1:19" ht="27.6">
      <c r="A173" t="s">
        <v>329</v>
      </c>
      <c r="B173" s="21">
        <v>45759</v>
      </c>
      <c r="C173" t="s">
        <v>15</v>
      </c>
      <c r="D173" t="s">
        <v>64</v>
      </c>
      <c r="E173" t="s">
        <v>330</v>
      </c>
      <c r="F173" t="s">
        <v>32</v>
      </c>
      <c r="G173" t="s">
        <v>33</v>
      </c>
      <c r="H173" t="s">
        <v>41</v>
      </c>
      <c r="I173">
        <v>12</v>
      </c>
      <c r="J173">
        <v>82.56</v>
      </c>
      <c r="K173">
        <v>0</v>
      </c>
      <c r="L173">
        <v>990.72</v>
      </c>
      <c r="M173">
        <v>756.14</v>
      </c>
      <c r="N173">
        <v>976.12</v>
      </c>
      <c r="O173" s="3">
        <f>_xlfn.XLOOKUP(SalesData[[#This Row],[Product]],ProductLookup[Product],ProductLookup[Standard_Price],"Not Found")</f>
        <v>85</v>
      </c>
      <c r="P173" s="3">
        <f>SalesData[[#This Row],[Revenue]]-SalesData[[#This Row],[Cost]]</f>
        <v>234.58000000000004</v>
      </c>
      <c r="Q173" s="5">
        <f>IFERROR(SalesData[[#This Row],[Profit]]/SalesData[[#This Row],[Revenue]],0)</f>
        <v>0.23677729328165378</v>
      </c>
      <c r="R173" s="3">
        <f>SalesData[[#This Row],[Revenue]]-SalesData[[#This Row],[Target]]</f>
        <v>14.600000000000023</v>
      </c>
      <c r="S173" s="3" t="str">
        <f t="shared" si="2"/>
        <v>Above Target</v>
      </c>
    </row>
    <row r="174" spans="1:19" ht="27.6">
      <c r="A174" t="s">
        <v>331</v>
      </c>
      <c r="B174" s="21">
        <v>45872</v>
      </c>
      <c r="C174" t="s">
        <v>29</v>
      </c>
      <c r="D174" t="s">
        <v>82</v>
      </c>
      <c r="E174" t="s">
        <v>170</v>
      </c>
      <c r="F174" t="s">
        <v>25</v>
      </c>
      <c r="G174" t="s">
        <v>26</v>
      </c>
      <c r="H174" t="s">
        <v>39</v>
      </c>
      <c r="I174">
        <v>14</v>
      </c>
      <c r="J174">
        <v>212.07</v>
      </c>
      <c r="K174">
        <v>0.05</v>
      </c>
      <c r="L174">
        <v>2820.53</v>
      </c>
      <c r="M174">
        <v>2038.07</v>
      </c>
      <c r="N174">
        <v>2809.95</v>
      </c>
      <c r="O174" s="3">
        <f>_xlfn.XLOOKUP(SalesData[[#This Row],[Product]],ProductLookup[Product],ProductLookup[Standard_Price],"Not Found")</f>
        <v>220</v>
      </c>
      <c r="P174" s="3">
        <f>SalesData[[#This Row],[Revenue]]-SalesData[[#This Row],[Cost]]</f>
        <v>782.46000000000026</v>
      </c>
      <c r="Q174" s="5">
        <f>IFERROR(SalesData[[#This Row],[Profit]]/SalesData[[#This Row],[Revenue]],0)</f>
        <v>0.27741594664832503</v>
      </c>
      <c r="R174" s="3">
        <f>SalesData[[#This Row],[Revenue]]-SalesData[[#This Row],[Target]]</f>
        <v>10.580000000000382</v>
      </c>
      <c r="S174" s="3" t="str">
        <f t="shared" si="2"/>
        <v>Above Target</v>
      </c>
    </row>
    <row r="175" spans="1:19" ht="13.8">
      <c r="A175" t="s">
        <v>332</v>
      </c>
      <c r="B175" s="21">
        <v>45913</v>
      </c>
      <c r="C175" t="s">
        <v>22</v>
      </c>
      <c r="D175" t="s">
        <v>82</v>
      </c>
      <c r="E175" t="s">
        <v>333</v>
      </c>
      <c r="F175" t="s">
        <v>74</v>
      </c>
      <c r="G175" t="s">
        <v>19</v>
      </c>
      <c r="H175" t="s">
        <v>38</v>
      </c>
      <c r="I175">
        <v>9</v>
      </c>
      <c r="J175">
        <v>959.46</v>
      </c>
      <c r="K175">
        <v>0.1</v>
      </c>
      <c r="L175">
        <v>7771.63</v>
      </c>
      <c r="M175">
        <v>4674.2700000000004</v>
      </c>
      <c r="N175">
        <v>8407.23</v>
      </c>
      <c r="O175" s="3">
        <f>_xlfn.XLOOKUP(SalesData[[#This Row],[Product]],ProductLookup[Product],ProductLookup[Standard_Price],"Not Found")</f>
        <v>950</v>
      </c>
      <c r="P175" s="3">
        <f>SalesData[[#This Row],[Revenue]]-SalesData[[#This Row],[Cost]]</f>
        <v>3097.3599999999997</v>
      </c>
      <c r="Q175" s="5">
        <f>IFERROR(SalesData[[#This Row],[Profit]]/SalesData[[#This Row],[Revenue]],0)</f>
        <v>0.39854702295400057</v>
      </c>
      <c r="R175" s="3">
        <f>SalesData[[#This Row],[Revenue]]-SalesData[[#This Row],[Target]]</f>
        <v>-635.59999999999945</v>
      </c>
      <c r="S175" s="3" t="str">
        <f t="shared" si="2"/>
        <v>Below Target</v>
      </c>
    </row>
    <row r="176" spans="1:19" ht="13.8">
      <c r="A176" t="s">
        <v>334</v>
      </c>
      <c r="B176" s="21">
        <v>45998</v>
      </c>
      <c r="C176" t="s">
        <v>15</v>
      </c>
      <c r="D176" t="s">
        <v>23</v>
      </c>
      <c r="E176" t="s">
        <v>139</v>
      </c>
      <c r="F176" t="s">
        <v>32</v>
      </c>
      <c r="G176" t="s">
        <v>26</v>
      </c>
      <c r="H176" t="s">
        <v>27</v>
      </c>
      <c r="I176">
        <v>14</v>
      </c>
      <c r="J176">
        <v>318.89999999999998</v>
      </c>
      <c r="K176">
        <v>0.05</v>
      </c>
      <c r="L176">
        <v>4241.37</v>
      </c>
      <c r="M176">
        <v>2935.62</v>
      </c>
      <c r="N176">
        <v>4710.24</v>
      </c>
      <c r="O176" s="3">
        <f>_xlfn.XLOOKUP(SalesData[[#This Row],[Product]],ProductLookup[Product],ProductLookup[Standard_Price],"Not Found")</f>
        <v>320</v>
      </c>
      <c r="P176" s="3">
        <f>SalesData[[#This Row],[Revenue]]-SalesData[[#This Row],[Cost]]</f>
        <v>1305.75</v>
      </c>
      <c r="Q176" s="5">
        <f>IFERROR(SalesData[[#This Row],[Profit]]/SalesData[[#This Row],[Revenue]],0)</f>
        <v>0.30786043188875295</v>
      </c>
      <c r="R176" s="3">
        <f>SalesData[[#This Row],[Revenue]]-SalesData[[#This Row],[Target]]</f>
        <v>-468.86999999999989</v>
      </c>
      <c r="S176" s="3" t="str">
        <f t="shared" si="2"/>
        <v>Below Target</v>
      </c>
    </row>
    <row r="177" spans="1:19" ht="13.8">
      <c r="A177" t="s">
        <v>335</v>
      </c>
      <c r="B177" s="21">
        <v>45983</v>
      </c>
      <c r="C177" t="s">
        <v>67</v>
      </c>
      <c r="D177" t="s">
        <v>16</v>
      </c>
      <c r="E177" t="s">
        <v>336</v>
      </c>
      <c r="F177" t="s">
        <v>74</v>
      </c>
      <c r="G177" t="s">
        <v>45</v>
      </c>
      <c r="H177" t="s">
        <v>44</v>
      </c>
      <c r="I177">
        <v>1</v>
      </c>
      <c r="J177">
        <v>247.53</v>
      </c>
      <c r="K177">
        <v>0</v>
      </c>
      <c r="L177">
        <v>247.53</v>
      </c>
      <c r="M177">
        <v>185.69</v>
      </c>
      <c r="N177">
        <v>273.16000000000003</v>
      </c>
      <c r="O177" s="3">
        <f>_xlfn.XLOOKUP(SalesData[[#This Row],[Product]],ProductLookup[Product],ProductLookup[Standard_Price],"Not Found")</f>
        <v>260</v>
      </c>
      <c r="P177" s="3">
        <f>SalesData[[#This Row],[Revenue]]-SalesData[[#This Row],[Cost]]</f>
        <v>61.84</v>
      </c>
      <c r="Q177" s="5">
        <f>IFERROR(SalesData[[#This Row],[Profit]]/SalesData[[#This Row],[Revenue]],0)</f>
        <v>0.24982830363996283</v>
      </c>
      <c r="R177" s="3">
        <f>SalesData[[#This Row],[Revenue]]-SalesData[[#This Row],[Target]]</f>
        <v>-25.630000000000024</v>
      </c>
      <c r="S177" s="3" t="str">
        <f t="shared" si="2"/>
        <v>Below Target</v>
      </c>
    </row>
    <row r="178" spans="1:19" ht="13.8">
      <c r="A178" t="s">
        <v>337</v>
      </c>
      <c r="B178" s="21">
        <v>45906</v>
      </c>
      <c r="C178" t="s">
        <v>67</v>
      </c>
      <c r="D178" t="s">
        <v>16</v>
      </c>
      <c r="E178" t="s">
        <v>224</v>
      </c>
      <c r="F178" t="s">
        <v>32</v>
      </c>
      <c r="G178" t="s">
        <v>45</v>
      </c>
      <c r="H178" t="s">
        <v>47</v>
      </c>
      <c r="I178">
        <v>15</v>
      </c>
      <c r="J178">
        <v>405.07</v>
      </c>
      <c r="K178">
        <v>0.02</v>
      </c>
      <c r="L178">
        <v>5954.53</v>
      </c>
      <c r="M178">
        <v>4513.54</v>
      </c>
      <c r="N178">
        <v>6133.56</v>
      </c>
      <c r="O178" s="3">
        <f>_xlfn.XLOOKUP(SalesData[[#This Row],[Product]],ProductLookup[Product],ProductLookup[Standard_Price],"Not Found")</f>
        <v>420</v>
      </c>
      <c r="P178" s="3">
        <f>SalesData[[#This Row],[Revenue]]-SalesData[[#This Row],[Cost]]</f>
        <v>1440.9899999999998</v>
      </c>
      <c r="Q178" s="5">
        <f>IFERROR(SalesData[[#This Row],[Profit]]/SalesData[[#This Row],[Revenue]],0)</f>
        <v>0.24199894869956148</v>
      </c>
      <c r="R178" s="3">
        <f>SalesData[[#This Row],[Revenue]]-SalesData[[#This Row],[Target]]</f>
        <v>-179.03000000000065</v>
      </c>
      <c r="S178" s="3" t="str">
        <f t="shared" si="2"/>
        <v>Below Target</v>
      </c>
    </row>
    <row r="179" spans="1:19" ht="27.6">
      <c r="A179" t="s">
        <v>338</v>
      </c>
      <c r="B179" s="21">
        <v>45832</v>
      </c>
      <c r="C179" t="s">
        <v>67</v>
      </c>
      <c r="D179" t="s">
        <v>64</v>
      </c>
      <c r="E179" t="s">
        <v>143</v>
      </c>
      <c r="F179" t="s">
        <v>32</v>
      </c>
      <c r="G179" t="s">
        <v>33</v>
      </c>
      <c r="H179" t="s">
        <v>41</v>
      </c>
      <c r="I179">
        <v>13</v>
      </c>
      <c r="J179">
        <v>85.22</v>
      </c>
      <c r="K179">
        <v>0.02</v>
      </c>
      <c r="L179">
        <v>1085.7</v>
      </c>
      <c r="M179">
        <v>719.29</v>
      </c>
      <c r="N179">
        <v>1044.52</v>
      </c>
      <c r="O179" s="3">
        <f>_xlfn.XLOOKUP(SalesData[[#This Row],[Product]],ProductLookup[Product],ProductLookup[Standard_Price],"Not Found")</f>
        <v>85</v>
      </c>
      <c r="P179" s="3">
        <f>SalesData[[#This Row],[Revenue]]-SalesData[[#This Row],[Cost]]</f>
        <v>366.41000000000008</v>
      </c>
      <c r="Q179" s="5">
        <f>IFERROR(SalesData[[#This Row],[Profit]]/SalesData[[#This Row],[Revenue]],0)</f>
        <v>0.33748733535967584</v>
      </c>
      <c r="R179" s="3">
        <f>SalesData[[#This Row],[Revenue]]-SalesData[[#This Row],[Target]]</f>
        <v>41.180000000000064</v>
      </c>
      <c r="S179" s="3" t="str">
        <f t="shared" si="2"/>
        <v>Above Target</v>
      </c>
    </row>
    <row r="180" spans="1:19" ht="27.6">
      <c r="A180" t="s">
        <v>339</v>
      </c>
      <c r="B180" s="21">
        <v>45807</v>
      </c>
      <c r="C180" t="s">
        <v>67</v>
      </c>
      <c r="D180" t="s">
        <v>23</v>
      </c>
      <c r="E180" t="s">
        <v>166</v>
      </c>
      <c r="F180" t="s">
        <v>74</v>
      </c>
      <c r="G180" t="s">
        <v>26</v>
      </c>
      <c r="H180" t="s">
        <v>40</v>
      </c>
      <c r="I180">
        <v>14</v>
      </c>
      <c r="J180">
        <v>449.72</v>
      </c>
      <c r="K180">
        <v>0.03</v>
      </c>
      <c r="L180">
        <v>6107.2</v>
      </c>
      <c r="M180">
        <v>4341.1499999999996</v>
      </c>
      <c r="N180">
        <v>5772.57</v>
      </c>
      <c r="O180" s="3">
        <f>_xlfn.XLOOKUP(SalesData[[#This Row],[Product]],ProductLookup[Product],ProductLookup[Standard_Price],"Not Found")</f>
        <v>450</v>
      </c>
      <c r="P180" s="3">
        <f>SalesData[[#This Row],[Revenue]]-SalesData[[#This Row],[Cost]]</f>
        <v>1766.0500000000002</v>
      </c>
      <c r="Q180" s="5">
        <f>IFERROR(SalesData[[#This Row],[Profit]]/SalesData[[#This Row],[Revenue]],0)</f>
        <v>0.28917507204610954</v>
      </c>
      <c r="R180" s="3">
        <f>SalesData[[#This Row],[Revenue]]-SalesData[[#This Row],[Target]]</f>
        <v>334.63000000000011</v>
      </c>
      <c r="S180" s="3" t="str">
        <f t="shared" si="2"/>
        <v>Above Target</v>
      </c>
    </row>
    <row r="181" spans="1:19" ht="13.8">
      <c r="A181" t="s">
        <v>340</v>
      </c>
      <c r="B181" s="21">
        <v>45718</v>
      </c>
      <c r="C181" t="s">
        <v>15</v>
      </c>
      <c r="D181" t="s">
        <v>16</v>
      </c>
      <c r="E181" t="s">
        <v>156</v>
      </c>
      <c r="F181" t="s">
        <v>74</v>
      </c>
      <c r="G181" t="s">
        <v>26</v>
      </c>
      <c r="H181" t="s">
        <v>40</v>
      </c>
      <c r="I181">
        <v>4</v>
      </c>
      <c r="J181">
        <v>441.77</v>
      </c>
      <c r="K181">
        <v>0.03</v>
      </c>
      <c r="L181">
        <v>1714.07</v>
      </c>
      <c r="M181">
        <v>1076.55</v>
      </c>
      <c r="N181">
        <v>1908.55</v>
      </c>
      <c r="O181" s="3">
        <f>_xlfn.XLOOKUP(SalesData[[#This Row],[Product]],ProductLookup[Product],ProductLookup[Standard_Price],"Not Found")</f>
        <v>450</v>
      </c>
      <c r="P181" s="3">
        <f>SalesData[[#This Row],[Revenue]]-SalesData[[#This Row],[Cost]]</f>
        <v>637.52</v>
      </c>
      <c r="Q181" s="5">
        <f>IFERROR(SalesData[[#This Row],[Profit]]/SalesData[[#This Row],[Revenue]],0)</f>
        <v>0.37193346829476043</v>
      </c>
      <c r="R181" s="3">
        <f>SalesData[[#This Row],[Revenue]]-SalesData[[#This Row],[Target]]</f>
        <v>-194.48000000000002</v>
      </c>
      <c r="S181" s="3" t="str">
        <f t="shared" si="2"/>
        <v>Below Target</v>
      </c>
    </row>
    <row r="182" spans="1:19" ht="27.6">
      <c r="A182" t="s">
        <v>341</v>
      </c>
      <c r="B182" s="21">
        <v>45937</v>
      </c>
      <c r="C182" t="s">
        <v>22</v>
      </c>
      <c r="D182" t="s">
        <v>64</v>
      </c>
      <c r="E182" t="s">
        <v>342</v>
      </c>
      <c r="F182" t="s">
        <v>18</v>
      </c>
      <c r="G182" t="s">
        <v>33</v>
      </c>
      <c r="H182" t="s">
        <v>43</v>
      </c>
      <c r="I182">
        <v>1</v>
      </c>
      <c r="J182">
        <v>74.239999999999995</v>
      </c>
      <c r="K182">
        <v>0</v>
      </c>
      <c r="L182">
        <v>74.239999999999995</v>
      </c>
      <c r="M182">
        <v>44.65</v>
      </c>
      <c r="N182">
        <v>68.72</v>
      </c>
      <c r="O182" s="3">
        <f>_xlfn.XLOOKUP(SalesData[[#This Row],[Product]],ProductLookup[Product],ProductLookup[Standard_Price],"Not Found")</f>
        <v>75</v>
      </c>
      <c r="P182" s="3">
        <f>SalesData[[#This Row],[Revenue]]-SalesData[[#This Row],[Cost]]</f>
        <v>29.589999999999996</v>
      </c>
      <c r="Q182" s="5">
        <f>IFERROR(SalesData[[#This Row],[Profit]]/SalesData[[#This Row],[Revenue]],0)</f>
        <v>0.39857219827586204</v>
      </c>
      <c r="R182" s="3">
        <f>SalesData[[#This Row],[Revenue]]-SalesData[[#This Row],[Target]]</f>
        <v>5.519999999999996</v>
      </c>
      <c r="S182" s="3" t="str">
        <f t="shared" si="2"/>
        <v>Above Target</v>
      </c>
    </row>
    <row r="183" spans="1:19" ht="13.8">
      <c r="A183" t="s">
        <v>343</v>
      </c>
      <c r="B183" s="21">
        <v>45914</v>
      </c>
      <c r="C183" t="s">
        <v>15</v>
      </c>
      <c r="D183" t="s">
        <v>23</v>
      </c>
      <c r="E183" t="s">
        <v>135</v>
      </c>
      <c r="F183" t="s">
        <v>74</v>
      </c>
      <c r="G183" t="s">
        <v>33</v>
      </c>
      <c r="H183" t="s">
        <v>42</v>
      </c>
      <c r="I183">
        <v>10</v>
      </c>
      <c r="J183">
        <v>59.26</v>
      </c>
      <c r="K183">
        <v>0.02</v>
      </c>
      <c r="L183">
        <v>580.75</v>
      </c>
      <c r="M183">
        <v>428.53</v>
      </c>
      <c r="N183">
        <v>608.12</v>
      </c>
      <c r="O183" s="3">
        <f>_xlfn.XLOOKUP(SalesData[[#This Row],[Product]],ProductLookup[Product],ProductLookup[Standard_Price],"Not Found")</f>
        <v>60</v>
      </c>
      <c r="P183" s="3">
        <f>SalesData[[#This Row],[Revenue]]-SalesData[[#This Row],[Cost]]</f>
        <v>152.22000000000003</v>
      </c>
      <c r="Q183" s="5">
        <f>IFERROR(SalesData[[#This Row],[Profit]]/SalesData[[#This Row],[Revenue]],0)</f>
        <v>0.26210934136891956</v>
      </c>
      <c r="R183" s="3">
        <f>SalesData[[#This Row],[Revenue]]-SalesData[[#This Row],[Target]]</f>
        <v>-27.370000000000005</v>
      </c>
      <c r="S183" s="3" t="str">
        <f t="shared" si="2"/>
        <v>Below Target</v>
      </c>
    </row>
    <row r="184" spans="1:19" ht="27.6">
      <c r="A184" t="s">
        <v>344</v>
      </c>
      <c r="B184" s="21">
        <v>45978</v>
      </c>
      <c r="C184" t="s">
        <v>15</v>
      </c>
      <c r="D184" t="s">
        <v>82</v>
      </c>
      <c r="E184" t="s">
        <v>24</v>
      </c>
      <c r="F184" t="s">
        <v>32</v>
      </c>
      <c r="G184" t="s">
        <v>45</v>
      </c>
      <c r="H184" t="s">
        <v>47</v>
      </c>
      <c r="I184">
        <v>3</v>
      </c>
      <c r="J184">
        <v>403.26</v>
      </c>
      <c r="K184">
        <v>0.02</v>
      </c>
      <c r="L184">
        <v>1185.58</v>
      </c>
      <c r="M184">
        <v>938.06</v>
      </c>
      <c r="N184">
        <v>1163.26</v>
      </c>
      <c r="O184" s="3">
        <f>_xlfn.XLOOKUP(SalesData[[#This Row],[Product]],ProductLookup[Product],ProductLookup[Standard_Price],"Not Found")</f>
        <v>420</v>
      </c>
      <c r="P184" s="3">
        <f>SalesData[[#This Row],[Revenue]]-SalesData[[#This Row],[Cost]]</f>
        <v>247.51999999999998</v>
      </c>
      <c r="Q184" s="5">
        <f>IFERROR(SalesData[[#This Row],[Profit]]/SalesData[[#This Row],[Revenue]],0)</f>
        <v>0.20877545167765987</v>
      </c>
      <c r="R184" s="3">
        <f>SalesData[[#This Row],[Revenue]]-SalesData[[#This Row],[Target]]</f>
        <v>22.319999999999936</v>
      </c>
      <c r="S184" s="3" t="str">
        <f t="shared" si="2"/>
        <v>Above Target</v>
      </c>
    </row>
    <row r="185" spans="1:19" ht="27.6">
      <c r="A185" t="s">
        <v>345</v>
      </c>
      <c r="B185" s="21">
        <v>45729</v>
      </c>
      <c r="C185" t="s">
        <v>15</v>
      </c>
      <c r="D185" t="s">
        <v>30</v>
      </c>
      <c r="E185" t="s">
        <v>31</v>
      </c>
      <c r="F185" t="s">
        <v>74</v>
      </c>
      <c r="G185" t="s">
        <v>45</v>
      </c>
      <c r="H185" t="s">
        <v>47</v>
      </c>
      <c r="I185">
        <v>5</v>
      </c>
      <c r="J185">
        <v>422.61</v>
      </c>
      <c r="K185">
        <v>0.03</v>
      </c>
      <c r="L185">
        <v>2049.66</v>
      </c>
      <c r="M185">
        <v>1618.7</v>
      </c>
      <c r="N185">
        <v>1894.6</v>
      </c>
      <c r="O185" s="3">
        <f>_xlfn.XLOOKUP(SalesData[[#This Row],[Product]],ProductLookup[Product],ProductLookup[Standard_Price],"Not Found")</f>
        <v>420</v>
      </c>
      <c r="P185" s="3">
        <f>SalesData[[#This Row],[Revenue]]-SalesData[[#This Row],[Cost]]</f>
        <v>430.95999999999981</v>
      </c>
      <c r="Q185" s="5">
        <f>IFERROR(SalesData[[#This Row],[Profit]]/SalesData[[#This Row],[Revenue]],0)</f>
        <v>0.21025926251183116</v>
      </c>
      <c r="R185" s="3">
        <f>SalesData[[#This Row],[Revenue]]-SalesData[[#This Row],[Target]]</f>
        <v>155.05999999999995</v>
      </c>
      <c r="S185" s="3" t="str">
        <f t="shared" si="2"/>
        <v>Above Target</v>
      </c>
    </row>
    <row r="186" spans="1:19" ht="13.8">
      <c r="A186" t="s">
        <v>346</v>
      </c>
      <c r="B186" s="21">
        <v>45947</v>
      </c>
      <c r="C186" t="s">
        <v>15</v>
      </c>
      <c r="D186" t="s">
        <v>68</v>
      </c>
      <c r="E186" t="s">
        <v>195</v>
      </c>
      <c r="F186" t="s">
        <v>74</v>
      </c>
      <c r="G186" t="s">
        <v>45</v>
      </c>
      <c r="H186" t="s">
        <v>44</v>
      </c>
      <c r="I186">
        <v>10</v>
      </c>
      <c r="J186">
        <v>271.27999999999997</v>
      </c>
      <c r="K186">
        <v>0</v>
      </c>
      <c r="L186">
        <v>2712.8</v>
      </c>
      <c r="M186">
        <v>1924.75</v>
      </c>
      <c r="N186">
        <v>2727.22</v>
      </c>
      <c r="O186" s="3">
        <f>_xlfn.XLOOKUP(SalesData[[#This Row],[Product]],ProductLookup[Product],ProductLookup[Standard_Price],"Not Found")</f>
        <v>260</v>
      </c>
      <c r="P186" s="3">
        <f>SalesData[[#This Row],[Revenue]]-SalesData[[#This Row],[Cost]]</f>
        <v>788.05000000000018</v>
      </c>
      <c r="Q186" s="5">
        <f>IFERROR(SalesData[[#This Row],[Profit]]/SalesData[[#This Row],[Revenue]],0)</f>
        <v>0.29049321734001776</v>
      </c>
      <c r="R186" s="3">
        <f>SalesData[[#This Row],[Revenue]]-SalesData[[#This Row],[Target]]</f>
        <v>-14.419999999999618</v>
      </c>
      <c r="S186" s="3" t="str">
        <f t="shared" si="2"/>
        <v>Below Target</v>
      </c>
    </row>
    <row r="187" spans="1:19" ht="13.8">
      <c r="A187" t="s">
        <v>347</v>
      </c>
      <c r="B187" s="21">
        <v>45886</v>
      </c>
      <c r="C187" t="s">
        <v>29</v>
      </c>
      <c r="D187" t="s">
        <v>68</v>
      </c>
      <c r="E187" t="s">
        <v>342</v>
      </c>
      <c r="F187" t="s">
        <v>74</v>
      </c>
      <c r="G187" t="s">
        <v>19</v>
      </c>
      <c r="H187" t="s">
        <v>37</v>
      </c>
      <c r="I187">
        <v>1</v>
      </c>
      <c r="J187">
        <v>1119.8</v>
      </c>
      <c r="K187">
        <v>0.08</v>
      </c>
      <c r="L187">
        <v>1030.22</v>
      </c>
      <c r="M187">
        <v>752.3</v>
      </c>
      <c r="N187">
        <v>1138.45</v>
      </c>
      <c r="O187" s="3">
        <f>_xlfn.XLOOKUP(SalesData[[#This Row],[Product]],ProductLookup[Product],ProductLookup[Standard_Price],"Not Found")</f>
        <v>1100</v>
      </c>
      <c r="P187" s="3">
        <f>SalesData[[#This Row],[Revenue]]-SalesData[[#This Row],[Cost]]</f>
        <v>277.92000000000007</v>
      </c>
      <c r="Q187" s="5">
        <f>IFERROR(SalesData[[#This Row],[Profit]]/SalesData[[#This Row],[Revenue]],0)</f>
        <v>0.26976762244957392</v>
      </c>
      <c r="R187" s="3">
        <f>SalesData[[#This Row],[Revenue]]-SalesData[[#This Row],[Target]]</f>
        <v>-108.23000000000002</v>
      </c>
      <c r="S187" s="3" t="str">
        <f t="shared" si="2"/>
        <v>Below Target</v>
      </c>
    </row>
    <row r="188" spans="1:19" ht="13.8">
      <c r="A188" t="s">
        <v>348</v>
      </c>
      <c r="B188" s="21">
        <v>45938</v>
      </c>
      <c r="C188" t="s">
        <v>22</v>
      </c>
      <c r="D188" t="s">
        <v>16</v>
      </c>
      <c r="E188" t="s">
        <v>24</v>
      </c>
      <c r="F188" t="s">
        <v>18</v>
      </c>
      <c r="G188" t="s">
        <v>19</v>
      </c>
      <c r="H188" t="s">
        <v>37</v>
      </c>
      <c r="I188">
        <v>2</v>
      </c>
      <c r="J188">
        <v>1115.9000000000001</v>
      </c>
      <c r="K188">
        <v>0.02</v>
      </c>
      <c r="L188">
        <v>2187.16</v>
      </c>
      <c r="M188">
        <v>1743.32</v>
      </c>
      <c r="N188">
        <v>2253.77</v>
      </c>
      <c r="O188" s="3">
        <f>_xlfn.XLOOKUP(SalesData[[#This Row],[Product]],ProductLookup[Product],ProductLookup[Standard_Price],"Not Found")</f>
        <v>1100</v>
      </c>
      <c r="P188" s="3">
        <f>SalesData[[#This Row],[Revenue]]-SalesData[[#This Row],[Cost]]</f>
        <v>443.83999999999992</v>
      </c>
      <c r="Q188" s="5">
        <f>IFERROR(SalesData[[#This Row],[Profit]]/SalesData[[#This Row],[Revenue]],0)</f>
        <v>0.2029298268073666</v>
      </c>
      <c r="R188" s="3">
        <f>SalesData[[#This Row],[Revenue]]-SalesData[[#This Row],[Target]]</f>
        <v>-66.610000000000127</v>
      </c>
      <c r="S188" s="3" t="str">
        <f t="shared" si="2"/>
        <v>Below Target</v>
      </c>
    </row>
    <row r="189" spans="1:19" ht="13.8">
      <c r="A189" t="s">
        <v>349</v>
      </c>
      <c r="B189" s="21">
        <v>45703</v>
      </c>
      <c r="C189" t="s">
        <v>29</v>
      </c>
      <c r="D189" t="s">
        <v>68</v>
      </c>
      <c r="E189" t="s">
        <v>303</v>
      </c>
      <c r="F189" t="s">
        <v>25</v>
      </c>
      <c r="G189" t="s">
        <v>26</v>
      </c>
      <c r="H189" t="s">
        <v>39</v>
      </c>
      <c r="I189">
        <v>14</v>
      </c>
      <c r="J189">
        <v>211.67</v>
      </c>
      <c r="K189">
        <v>0.05</v>
      </c>
      <c r="L189">
        <v>2815.21</v>
      </c>
      <c r="M189">
        <v>1700.14</v>
      </c>
      <c r="N189">
        <v>2963.41</v>
      </c>
      <c r="O189" s="3">
        <f>_xlfn.XLOOKUP(SalesData[[#This Row],[Product]],ProductLookup[Product],ProductLookup[Standard_Price],"Not Found")</f>
        <v>220</v>
      </c>
      <c r="P189" s="3">
        <f>SalesData[[#This Row],[Revenue]]-SalesData[[#This Row],[Cost]]</f>
        <v>1115.07</v>
      </c>
      <c r="Q189" s="5">
        <f>IFERROR(SalesData[[#This Row],[Profit]]/SalesData[[#This Row],[Revenue]],0)</f>
        <v>0.39608768084796514</v>
      </c>
      <c r="R189" s="3">
        <f>SalesData[[#This Row],[Revenue]]-SalesData[[#This Row],[Target]]</f>
        <v>-148.19999999999982</v>
      </c>
      <c r="S189" s="3" t="str">
        <f t="shared" si="2"/>
        <v>Below Target</v>
      </c>
    </row>
    <row r="190" spans="1:19" ht="13.8">
      <c r="A190" t="s">
        <v>350</v>
      </c>
      <c r="B190" s="21">
        <v>45683</v>
      </c>
      <c r="C190" t="s">
        <v>15</v>
      </c>
      <c r="D190" t="s">
        <v>30</v>
      </c>
      <c r="E190" t="s">
        <v>66</v>
      </c>
      <c r="F190" t="s">
        <v>74</v>
      </c>
      <c r="G190" t="s">
        <v>26</v>
      </c>
      <c r="H190" t="s">
        <v>40</v>
      </c>
      <c r="I190">
        <v>13</v>
      </c>
      <c r="J190">
        <v>461.13</v>
      </c>
      <c r="K190">
        <v>0.1</v>
      </c>
      <c r="L190">
        <v>5395.22</v>
      </c>
      <c r="M190">
        <v>4252.5600000000004</v>
      </c>
      <c r="N190">
        <v>5692.68</v>
      </c>
      <c r="O190" s="3">
        <f>_xlfn.XLOOKUP(SalesData[[#This Row],[Product]],ProductLookup[Product],ProductLookup[Standard_Price],"Not Found")</f>
        <v>450</v>
      </c>
      <c r="P190" s="3">
        <f>SalesData[[#This Row],[Revenue]]-SalesData[[#This Row],[Cost]]</f>
        <v>1142.6599999999999</v>
      </c>
      <c r="Q190" s="5">
        <f>IFERROR(SalesData[[#This Row],[Profit]]/SalesData[[#This Row],[Revenue]],0)</f>
        <v>0.21179117811692569</v>
      </c>
      <c r="R190" s="3">
        <f>SalesData[[#This Row],[Revenue]]-SalesData[[#This Row],[Target]]</f>
        <v>-297.46000000000004</v>
      </c>
      <c r="S190" s="3" t="str">
        <f t="shared" si="2"/>
        <v>Below Target</v>
      </c>
    </row>
    <row r="191" spans="1:19" ht="27.6">
      <c r="A191" t="s">
        <v>351</v>
      </c>
      <c r="B191" s="21">
        <v>45893</v>
      </c>
      <c r="C191" t="s">
        <v>15</v>
      </c>
      <c r="D191" t="s">
        <v>82</v>
      </c>
      <c r="E191" t="s">
        <v>352</v>
      </c>
      <c r="F191" t="s">
        <v>18</v>
      </c>
      <c r="G191" t="s">
        <v>45</v>
      </c>
      <c r="H191" t="s">
        <v>44</v>
      </c>
      <c r="I191">
        <v>15</v>
      </c>
      <c r="J191">
        <v>270.14</v>
      </c>
      <c r="K191">
        <v>0</v>
      </c>
      <c r="L191">
        <v>4052.1</v>
      </c>
      <c r="M191">
        <v>3070.63</v>
      </c>
      <c r="N191">
        <v>3576.94</v>
      </c>
      <c r="O191" s="3">
        <f>_xlfn.XLOOKUP(SalesData[[#This Row],[Product]],ProductLookup[Product],ProductLookup[Standard_Price],"Not Found")</f>
        <v>260</v>
      </c>
      <c r="P191" s="3">
        <f>SalesData[[#This Row],[Revenue]]-SalesData[[#This Row],[Cost]]</f>
        <v>981.4699999999998</v>
      </c>
      <c r="Q191" s="5">
        <f>IFERROR(SalesData[[#This Row],[Profit]]/SalesData[[#This Row],[Revenue]],0)</f>
        <v>0.2422126798450186</v>
      </c>
      <c r="R191" s="3">
        <f>SalesData[[#This Row],[Revenue]]-SalesData[[#This Row],[Target]]</f>
        <v>475.15999999999985</v>
      </c>
      <c r="S191" s="3" t="str">
        <f t="shared" si="2"/>
        <v>Above Target</v>
      </c>
    </row>
    <row r="192" spans="1:19" ht="13.8">
      <c r="A192" t="s">
        <v>353</v>
      </c>
      <c r="B192" s="21">
        <v>45857</v>
      </c>
      <c r="C192" t="s">
        <v>15</v>
      </c>
      <c r="D192" t="s">
        <v>30</v>
      </c>
      <c r="E192" t="s">
        <v>235</v>
      </c>
      <c r="F192" t="s">
        <v>74</v>
      </c>
      <c r="G192" t="s">
        <v>26</v>
      </c>
      <c r="H192" t="s">
        <v>27</v>
      </c>
      <c r="I192">
        <v>5</v>
      </c>
      <c r="J192">
        <v>327.33999999999997</v>
      </c>
      <c r="K192">
        <v>0.02</v>
      </c>
      <c r="L192">
        <v>1603.97</v>
      </c>
      <c r="M192">
        <v>1300.33</v>
      </c>
      <c r="N192">
        <v>1732.9</v>
      </c>
      <c r="O192" s="3">
        <f>_xlfn.XLOOKUP(SalesData[[#This Row],[Product]],ProductLookup[Product],ProductLookup[Standard_Price],"Not Found")</f>
        <v>320</v>
      </c>
      <c r="P192" s="3">
        <f>SalesData[[#This Row],[Revenue]]-SalesData[[#This Row],[Cost]]</f>
        <v>303.6400000000001</v>
      </c>
      <c r="Q192" s="5">
        <f>IFERROR(SalesData[[#This Row],[Profit]]/SalesData[[#This Row],[Revenue]],0)</f>
        <v>0.18930528625847123</v>
      </c>
      <c r="R192" s="3">
        <f>SalesData[[#This Row],[Revenue]]-SalesData[[#This Row],[Target]]</f>
        <v>-128.93000000000006</v>
      </c>
      <c r="S192" s="3" t="str">
        <f t="shared" si="2"/>
        <v>Below Target</v>
      </c>
    </row>
    <row r="193" spans="1:19" ht="13.8">
      <c r="A193" t="s">
        <v>354</v>
      </c>
      <c r="B193" s="21">
        <v>45898</v>
      </c>
      <c r="C193" t="s">
        <v>22</v>
      </c>
      <c r="D193" t="s">
        <v>68</v>
      </c>
      <c r="E193" t="s">
        <v>85</v>
      </c>
      <c r="F193" t="s">
        <v>74</v>
      </c>
      <c r="G193" t="s">
        <v>45</v>
      </c>
      <c r="H193" t="s">
        <v>44</v>
      </c>
      <c r="I193">
        <v>3</v>
      </c>
      <c r="J193">
        <v>250.77</v>
      </c>
      <c r="K193">
        <v>0</v>
      </c>
      <c r="L193">
        <v>752.31</v>
      </c>
      <c r="M193">
        <v>511.51</v>
      </c>
      <c r="N193">
        <v>778.47</v>
      </c>
      <c r="O193" s="3">
        <f>_xlfn.XLOOKUP(SalesData[[#This Row],[Product]],ProductLookup[Product],ProductLookup[Standard_Price],"Not Found")</f>
        <v>260</v>
      </c>
      <c r="P193" s="3">
        <f>SalesData[[#This Row],[Revenue]]-SalesData[[#This Row],[Cost]]</f>
        <v>240.79999999999995</v>
      </c>
      <c r="Q193" s="5">
        <f>IFERROR(SalesData[[#This Row],[Profit]]/SalesData[[#This Row],[Revenue]],0)</f>
        <v>0.32008081774800279</v>
      </c>
      <c r="R193" s="3">
        <f>SalesData[[#This Row],[Revenue]]-SalesData[[#This Row],[Target]]</f>
        <v>-26.160000000000082</v>
      </c>
      <c r="S193" s="3" t="str">
        <f t="shared" si="2"/>
        <v>Below Target</v>
      </c>
    </row>
    <row r="194" spans="1:19" ht="13.8">
      <c r="A194" t="s">
        <v>355</v>
      </c>
      <c r="B194" s="21">
        <v>45797</v>
      </c>
      <c r="C194" t="s">
        <v>67</v>
      </c>
      <c r="D194" t="s">
        <v>64</v>
      </c>
      <c r="E194" t="s">
        <v>356</v>
      </c>
      <c r="F194" t="s">
        <v>18</v>
      </c>
      <c r="G194" t="s">
        <v>45</v>
      </c>
      <c r="H194" t="s">
        <v>47</v>
      </c>
      <c r="I194">
        <v>13</v>
      </c>
      <c r="J194">
        <v>422.81</v>
      </c>
      <c r="K194">
        <v>0.03</v>
      </c>
      <c r="L194">
        <v>5331.63</v>
      </c>
      <c r="M194">
        <v>3527.3</v>
      </c>
      <c r="N194">
        <v>5487.54</v>
      </c>
      <c r="O194" s="3">
        <f>_xlfn.XLOOKUP(SalesData[[#This Row],[Product]],ProductLookup[Product],ProductLookup[Standard_Price],"Not Found")</f>
        <v>420</v>
      </c>
      <c r="P194" s="3">
        <f>SalesData[[#This Row],[Revenue]]-SalesData[[#This Row],[Cost]]</f>
        <v>1804.33</v>
      </c>
      <c r="Q194" s="5">
        <f>IFERROR(SalesData[[#This Row],[Profit]]/SalesData[[#This Row],[Revenue]],0)</f>
        <v>0.338419957874046</v>
      </c>
      <c r="R194" s="3">
        <f>SalesData[[#This Row],[Revenue]]-SalesData[[#This Row],[Target]]</f>
        <v>-155.90999999999985</v>
      </c>
      <c r="S194" s="3" t="str">
        <f t="shared" ref="S194:S257" si="3">IF(R194&gt;=0,"Above Target","Below Target")</f>
        <v>Below Target</v>
      </c>
    </row>
    <row r="195" spans="1:19" ht="27.6">
      <c r="A195" t="s">
        <v>357</v>
      </c>
      <c r="B195" s="21">
        <v>45735</v>
      </c>
      <c r="C195" t="s">
        <v>22</v>
      </c>
      <c r="D195" t="s">
        <v>82</v>
      </c>
      <c r="E195" t="s">
        <v>358</v>
      </c>
      <c r="F195" t="s">
        <v>25</v>
      </c>
      <c r="G195" t="s">
        <v>33</v>
      </c>
      <c r="H195" t="s">
        <v>43</v>
      </c>
      <c r="I195">
        <v>14</v>
      </c>
      <c r="J195">
        <v>73.56</v>
      </c>
      <c r="K195">
        <v>0.05</v>
      </c>
      <c r="L195">
        <v>978.35</v>
      </c>
      <c r="M195">
        <v>797.16</v>
      </c>
      <c r="N195">
        <v>918.74</v>
      </c>
      <c r="O195" s="3">
        <f>_xlfn.XLOOKUP(SalesData[[#This Row],[Product]],ProductLookup[Product],ProductLookup[Standard_Price],"Not Found")</f>
        <v>75</v>
      </c>
      <c r="P195" s="3">
        <f>SalesData[[#This Row],[Revenue]]-SalesData[[#This Row],[Cost]]</f>
        <v>181.19000000000005</v>
      </c>
      <c r="Q195" s="5">
        <f>IFERROR(SalesData[[#This Row],[Profit]]/SalesData[[#This Row],[Revenue]],0)</f>
        <v>0.18519957070578019</v>
      </c>
      <c r="R195" s="3">
        <f>SalesData[[#This Row],[Revenue]]-SalesData[[#This Row],[Target]]</f>
        <v>59.610000000000014</v>
      </c>
      <c r="S195" s="3" t="str">
        <f t="shared" si="3"/>
        <v>Above Target</v>
      </c>
    </row>
    <row r="196" spans="1:19" ht="27.6">
      <c r="A196" t="s">
        <v>359</v>
      </c>
      <c r="B196" s="21">
        <v>45889</v>
      </c>
      <c r="C196" t="s">
        <v>15</v>
      </c>
      <c r="D196" t="s">
        <v>30</v>
      </c>
      <c r="E196" t="s">
        <v>102</v>
      </c>
      <c r="F196" t="s">
        <v>25</v>
      </c>
      <c r="G196" t="s">
        <v>26</v>
      </c>
      <c r="H196" t="s">
        <v>27</v>
      </c>
      <c r="I196">
        <v>12</v>
      </c>
      <c r="J196">
        <v>304.05</v>
      </c>
      <c r="K196">
        <v>0.03</v>
      </c>
      <c r="L196">
        <v>3539.14</v>
      </c>
      <c r="M196">
        <v>2332.17</v>
      </c>
      <c r="N196">
        <v>3248.04</v>
      </c>
      <c r="O196" s="3">
        <f>_xlfn.XLOOKUP(SalesData[[#This Row],[Product]],ProductLookup[Product],ProductLookup[Standard_Price],"Not Found")</f>
        <v>320</v>
      </c>
      <c r="P196" s="3">
        <f>SalesData[[#This Row],[Revenue]]-SalesData[[#This Row],[Cost]]</f>
        <v>1206.9699999999998</v>
      </c>
      <c r="Q196" s="5">
        <f>IFERROR(SalesData[[#This Row],[Profit]]/SalesData[[#This Row],[Revenue]],0)</f>
        <v>0.34103482766999887</v>
      </c>
      <c r="R196" s="3">
        <f>SalesData[[#This Row],[Revenue]]-SalesData[[#This Row],[Target]]</f>
        <v>291.09999999999991</v>
      </c>
      <c r="S196" s="3" t="str">
        <f t="shared" si="3"/>
        <v>Above Target</v>
      </c>
    </row>
    <row r="197" spans="1:19" ht="13.8">
      <c r="A197" t="s">
        <v>360</v>
      </c>
      <c r="B197" s="21">
        <v>45950</v>
      </c>
      <c r="C197" t="s">
        <v>67</v>
      </c>
      <c r="D197" t="s">
        <v>64</v>
      </c>
      <c r="E197" t="s">
        <v>91</v>
      </c>
      <c r="F197" t="s">
        <v>74</v>
      </c>
      <c r="G197" t="s">
        <v>19</v>
      </c>
      <c r="H197" t="s">
        <v>38</v>
      </c>
      <c r="I197">
        <v>5</v>
      </c>
      <c r="J197">
        <v>995.16</v>
      </c>
      <c r="K197">
        <v>0.08</v>
      </c>
      <c r="L197">
        <v>4577.74</v>
      </c>
      <c r="M197">
        <v>3436.15</v>
      </c>
      <c r="N197">
        <v>5032.3100000000004</v>
      </c>
      <c r="O197" s="3">
        <f>_xlfn.XLOOKUP(SalesData[[#This Row],[Product]],ProductLookup[Product],ProductLookup[Standard_Price],"Not Found")</f>
        <v>950</v>
      </c>
      <c r="P197" s="3">
        <f>SalesData[[#This Row],[Revenue]]-SalesData[[#This Row],[Cost]]</f>
        <v>1141.5899999999997</v>
      </c>
      <c r="Q197" s="5">
        <f>IFERROR(SalesData[[#This Row],[Profit]]/SalesData[[#This Row],[Revenue]],0)</f>
        <v>0.24937851428871011</v>
      </c>
      <c r="R197" s="3">
        <f>SalesData[[#This Row],[Revenue]]-SalesData[[#This Row],[Target]]</f>
        <v>-454.57000000000062</v>
      </c>
      <c r="S197" s="3" t="str">
        <f t="shared" si="3"/>
        <v>Below Target</v>
      </c>
    </row>
    <row r="198" spans="1:19" ht="27.6">
      <c r="A198" t="s">
        <v>361</v>
      </c>
      <c r="B198" s="21">
        <v>45853</v>
      </c>
      <c r="C198" t="s">
        <v>22</v>
      </c>
      <c r="D198" t="s">
        <v>68</v>
      </c>
      <c r="E198" t="s">
        <v>322</v>
      </c>
      <c r="F198" t="s">
        <v>25</v>
      </c>
      <c r="G198" t="s">
        <v>26</v>
      </c>
      <c r="H198" t="s">
        <v>39</v>
      </c>
      <c r="I198">
        <v>13</v>
      </c>
      <c r="J198">
        <v>225.5</v>
      </c>
      <c r="K198">
        <v>0.02</v>
      </c>
      <c r="L198">
        <v>2872.87</v>
      </c>
      <c r="M198">
        <v>1919.32</v>
      </c>
      <c r="N198">
        <v>2567.81</v>
      </c>
      <c r="O198" s="3">
        <f>_xlfn.XLOOKUP(SalesData[[#This Row],[Product]],ProductLookup[Product],ProductLookup[Standard_Price],"Not Found")</f>
        <v>220</v>
      </c>
      <c r="P198" s="3">
        <f>SalesData[[#This Row],[Revenue]]-SalesData[[#This Row],[Cost]]</f>
        <v>953.55</v>
      </c>
      <c r="Q198" s="5">
        <f>IFERROR(SalesData[[#This Row],[Profit]]/SalesData[[#This Row],[Revenue]],0)</f>
        <v>0.33191547128829357</v>
      </c>
      <c r="R198" s="3">
        <f>SalesData[[#This Row],[Revenue]]-SalesData[[#This Row],[Target]]</f>
        <v>305.05999999999995</v>
      </c>
      <c r="S198" s="3" t="str">
        <f t="shared" si="3"/>
        <v>Above Target</v>
      </c>
    </row>
    <row r="199" spans="1:19" ht="27.6">
      <c r="A199" t="s">
        <v>362</v>
      </c>
      <c r="B199" s="21">
        <v>45788</v>
      </c>
      <c r="C199" t="s">
        <v>67</v>
      </c>
      <c r="D199" t="s">
        <v>16</v>
      </c>
      <c r="E199" t="s">
        <v>363</v>
      </c>
      <c r="F199" t="s">
        <v>74</v>
      </c>
      <c r="G199" t="s">
        <v>33</v>
      </c>
      <c r="H199" t="s">
        <v>43</v>
      </c>
      <c r="I199">
        <v>13</v>
      </c>
      <c r="J199">
        <v>71.319999999999993</v>
      </c>
      <c r="K199">
        <v>0.05</v>
      </c>
      <c r="L199">
        <v>880.8</v>
      </c>
      <c r="M199">
        <v>617.55999999999995</v>
      </c>
      <c r="N199">
        <v>793.64</v>
      </c>
      <c r="O199" s="3">
        <f>_xlfn.XLOOKUP(SalesData[[#This Row],[Product]],ProductLookup[Product],ProductLookup[Standard_Price],"Not Found")</f>
        <v>75</v>
      </c>
      <c r="P199" s="3">
        <f>SalesData[[#This Row],[Revenue]]-SalesData[[#This Row],[Cost]]</f>
        <v>263.24</v>
      </c>
      <c r="Q199" s="5">
        <f>IFERROR(SalesData[[#This Row],[Profit]]/SalesData[[#This Row],[Revenue]],0)</f>
        <v>0.29886466848319709</v>
      </c>
      <c r="R199" s="3">
        <f>SalesData[[#This Row],[Revenue]]-SalesData[[#This Row],[Target]]</f>
        <v>87.159999999999968</v>
      </c>
      <c r="S199" s="3" t="str">
        <f t="shared" si="3"/>
        <v>Above Target</v>
      </c>
    </row>
    <row r="200" spans="1:19" ht="13.8">
      <c r="A200" t="s">
        <v>364</v>
      </c>
      <c r="B200" s="21">
        <v>45954</v>
      </c>
      <c r="C200" t="s">
        <v>29</v>
      </c>
      <c r="D200" t="s">
        <v>23</v>
      </c>
      <c r="E200" t="s">
        <v>65</v>
      </c>
      <c r="F200" t="s">
        <v>25</v>
      </c>
      <c r="G200" t="s">
        <v>33</v>
      </c>
      <c r="H200" t="s">
        <v>42</v>
      </c>
      <c r="I200">
        <v>15</v>
      </c>
      <c r="J200">
        <v>58.56</v>
      </c>
      <c r="K200">
        <v>0.08</v>
      </c>
      <c r="L200">
        <v>808.13</v>
      </c>
      <c r="M200">
        <v>541.95000000000005</v>
      </c>
      <c r="N200">
        <v>809.33</v>
      </c>
      <c r="O200" s="3">
        <f>_xlfn.XLOOKUP(SalesData[[#This Row],[Product]],ProductLookup[Product],ProductLookup[Standard_Price],"Not Found")</f>
        <v>60</v>
      </c>
      <c r="P200" s="3">
        <f>SalesData[[#This Row],[Revenue]]-SalesData[[#This Row],[Cost]]</f>
        <v>266.17999999999995</v>
      </c>
      <c r="Q200" s="5">
        <f>IFERROR(SalesData[[#This Row],[Profit]]/SalesData[[#This Row],[Revenue]],0)</f>
        <v>0.32937769913256526</v>
      </c>
      <c r="R200" s="3">
        <f>SalesData[[#This Row],[Revenue]]-SalesData[[#This Row],[Target]]</f>
        <v>-1.2000000000000455</v>
      </c>
      <c r="S200" s="3" t="str">
        <f t="shared" si="3"/>
        <v>Below Target</v>
      </c>
    </row>
    <row r="201" spans="1:19" ht="27.6">
      <c r="A201" t="s">
        <v>365</v>
      </c>
      <c r="B201" s="21">
        <v>45705</v>
      </c>
      <c r="C201" t="s">
        <v>29</v>
      </c>
      <c r="D201" t="s">
        <v>23</v>
      </c>
      <c r="E201" t="s">
        <v>135</v>
      </c>
      <c r="F201" t="s">
        <v>74</v>
      </c>
      <c r="G201" t="s">
        <v>19</v>
      </c>
      <c r="H201" t="s">
        <v>38</v>
      </c>
      <c r="I201">
        <v>13</v>
      </c>
      <c r="J201">
        <v>969.1</v>
      </c>
      <c r="K201">
        <v>0.03</v>
      </c>
      <c r="L201">
        <v>12220.35</v>
      </c>
      <c r="M201">
        <v>8885.7900000000009</v>
      </c>
      <c r="N201">
        <v>11806.49</v>
      </c>
      <c r="O201" s="3">
        <f>_xlfn.XLOOKUP(SalesData[[#This Row],[Product]],ProductLookup[Product],ProductLookup[Standard_Price],"Not Found")</f>
        <v>950</v>
      </c>
      <c r="P201" s="3">
        <f>SalesData[[#This Row],[Revenue]]-SalesData[[#This Row],[Cost]]</f>
        <v>3334.5599999999995</v>
      </c>
      <c r="Q201" s="5">
        <f>IFERROR(SalesData[[#This Row],[Profit]]/SalesData[[#This Row],[Revenue]],0)</f>
        <v>0.27286943499981581</v>
      </c>
      <c r="R201" s="3">
        <f>SalesData[[#This Row],[Revenue]]-SalesData[[#This Row],[Target]]</f>
        <v>413.86000000000058</v>
      </c>
      <c r="S201" s="3" t="str">
        <f t="shared" si="3"/>
        <v>Above Target</v>
      </c>
    </row>
    <row r="202" spans="1:19" ht="13.8">
      <c r="A202" t="s">
        <v>366</v>
      </c>
      <c r="B202" s="21">
        <v>45849</v>
      </c>
      <c r="C202" t="s">
        <v>67</v>
      </c>
      <c r="D202" t="s">
        <v>30</v>
      </c>
      <c r="E202" t="s">
        <v>246</v>
      </c>
      <c r="F202" t="s">
        <v>18</v>
      </c>
      <c r="G202" t="s">
        <v>19</v>
      </c>
      <c r="H202" t="s">
        <v>37</v>
      </c>
      <c r="I202">
        <v>6</v>
      </c>
      <c r="J202">
        <v>1114.5999999999999</v>
      </c>
      <c r="K202">
        <v>0</v>
      </c>
      <c r="L202">
        <v>6687.6</v>
      </c>
      <c r="M202">
        <v>4242.3100000000004</v>
      </c>
      <c r="N202">
        <v>6843.63</v>
      </c>
      <c r="O202" s="3">
        <f>_xlfn.XLOOKUP(SalesData[[#This Row],[Product]],ProductLookup[Product],ProductLookup[Standard_Price],"Not Found")</f>
        <v>1100</v>
      </c>
      <c r="P202" s="3">
        <f>SalesData[[#This Row],[Revenue]]-SalesData[[#This Row],[Cost]]</f>
        <v>2445.29</v>
      </c>
      <c r="Q202" s="5">
        <f>IFERROR(SalesData[[#This Row],[Profit]]/SalesData[[#This Row],[Revenue]],0)</f>
        <v>0.36564537352712478</v>
      </c>
      <c r="R202" s="3">
        <f>SalesData[[#This Row],[Revenue]]-SalesData[[#This Row],[Target]]</f>
        <v>-156.02999999999975</v>
      </c>
      <c r="S202" s="3" t="str">
        <f t="shared" si="3"/>
        <v>Below Target</v>
      </c>
    </row>
    <row r="203" spans="1:19" ht="13.8">
      <c r="A203" t="s">
        <v>367</v>
      </c>
      <c r="B203" s="21">
        <v>45706</v>
      </c>
      <c r="C203" t="s">
        <v>67</v>
      </c>
      <c r="D203" t="s">
        <v>30</v>
      </c>
      <c r="E203" t="s">
        <v>368</v>
      </c>
      <c r="F203" t="s">
        <v>18</v>
      </c>
      <c r="G203" t="s">
        <v>19</v>
      </c>
      <c r="H203" t="s">
        <v>20</v>
      </c>
      <c r="I203">
        <v>4</v>
      </c>
      <c r="J203">
        <v>891.68</v>
      </c>
      <c r="K203">
        <v>0.08</v>
      </c>
      <c r="L203">
        <v>3281.38</v>
      </c>
      <c r="M203">
        <v>2319.9</v>
      </c>
      <c r="N203">
        <v>3334.29</v>
      </c>
      <c r="O203" s="3">
        <f>_xlfn.XLOOKUP(SalesData[[#This Row],[Product]],ProductLookup[Product],ProductLookup[Standard_Price],"Not Found")</f>
        <v>850</v>
      </c>
      <c r="P203" s="3">
        <f>SalesData[[#This Row],[Revenue]]-SalesData[[#This Row],[Cost]]</f>
        <v>961.48</v>
      </c>
      <c r="Q203" s="5">
        <f>IFERROR(SalesData[[#This Row],[Profit]]/SalesData[[#This Row],[Revenue]],0)</f>
        <v>0.29301086737896859</v>
      </c>
      <c r="R203" s="3">
        <f>SalesData[[#This Row],[Revenue]]-SalesData[[#This Row],[Target]]</f>
        <v>-52.909999999999854</v>
      </c>
      <c r="S203" s="3" t="str">
        <f t="shared" si="3"/>
        <v>Below Target</v>
      </c>
    </row>
    <row r="204" spans="1:19" ht="27.6">
      <c r="A204" t="s">
        <v>369</v>
      </c>
      <c r="B204" s="21">
        <v>45886</v>
      </c>
      <c r="C204" t="s">
        <v>29</v>
      </c>
      <c r="D204" t="s">
        <v>23</v>
      </c>
      <c r="E204" t="s">
        <v>358</v>
      </c>
      <c r="F204" t="s">
        <v>18</v>
      </c>
      <c r="G204" t="s">
        <v>45</v>
      </c>
      <c r="H204" t="s">
        <v>47</v>
      </c>
      <c r="I204">
        <v>10</v>
      </c>
      <c r="J204">
        <v>433.39</v>
      </c>
      <c r="K204">
        <v>0.02</v>
      </c>
      <c r="L204">
        <v>4247.22</v>
      </c>
      <c r="M204">
        <v>2785.66</v>
      </c>
      <c r="N204">
        <v>3776.16</v>
      </c>
      <c r="O204" s="3">
        <f>_xlfn.XLOOKUP(SalesData[[#This Row],[Product]],ProductLookup[Product],ProductLookup[Standard_Price],"Not Found")</f>
        <v>420</v>
      </c>
      <c r="P204" s="3">
        <f>SalesData[[#This Row],[Revenue]]-SalesData[[#This Row],[Cost]]</f>
        <v>1461.5600000000004</v>
      </c>
      <c r="Q204" s="5">
        <f>IFERROR(SalesData[[#This Row],[Profit]]/SalesData[[#This Row],[Revenue]],0)</f>
        <v>0.34412156657766735</v>
      </c>
      <c r="R204" s="3">
        <f>SalesData[[#This Row],[Revenue]]-SalesData[[#This Row],[Target]]</f>
        <v>471.0600000000004</v>
      </c>
      <c r="S204" s="3" t="str">
        <f t="shared" si="3"/>
        <v>Above Target</v>
      </c>
    </row>
    <row r="205" spans="1:19" ht="13.8">
      <c r="A205" t="s">
        <v>370</v>
      </c>
      <c r="B205" s="21">
        <v>45672</v>
      </c>
      <c r="C205" t="s">
        <v>15</v>
      </c>
      <c r="D205" t="s">
        <v>64</v>
      </c>
      <c r="E205" t="s">
        <v>139</v>
      </c>
      <c r="F205" t="s">
        <v>74</v>
      </c>
      <c r="G205" t="s">
        <v>19</v>
      </c>
      <c r="H205" t="s">
        <v>20</v>
      </c>
      <c r="I205">
        <v>1</v>
      </c>
      <c r="J205">
        <v>854.88</v>
      </c>
      <c r="K205">
        <v>0.1</v>
      </c>
      <c r="L205">
        <v>769.39</v>
      </c>
      <c r="M205">
        <v>539.21</v>
      </c>
      <c r="N205">
        <v>851.97</v>
      </c>
      <c r="O205" s="3">
        <f>_xlfn.XLOOKUP(SalesData[[#This Row],[Product]],ProductLookup[Product],ProductLookup[Standard_Price],"Not Found")</f>
        <v>850</v>
      </c>
      <c r="P205" s="3">
        <f>SalesData[[#This Row],[Revenue]]-SalesData[[#This Row],[Cost]]</f>
        <v>230.17999999999995</v>
      </c>
      <c r="Q205" s="5">
        <f>IFERROR(SalesData[[#This Row],[Profit]]/SalesData[[#This Row],[Revenue]],0)</f>
        <v>0.29917207138122404</v>
      </c>
      <c r="R205" s="3">
        <f>SalesData[[#This Row],[Revenue]]-SalesData[[#This Row],[Target]]</f>
        <v>-82.580000000000041</v>
      </c>
      <c r="S205" s="3" t="str">
        <f t="shared" si="3"/>
        <v>Below Target</v>
      </c>
    </row>
    <row r="206" spans="1:19" ht="27.6">
      <c r="A206" t="s">
        <v>371</v>
      </c>
      <c r="B206" s="21">
        <v>45719</v>
      </c>
      <c r="C206" t="s">
        <v>22</v>
      </c>
      <c r="D206" t="s">
        <v>23</v>
      </c>
      <c r="E206" t="s">
        <v>176</v>
      </c>
      <c r="F206" t="s">
        <v>25</v>
      </c>
      <c r="G206" t="s">
        <v>45</v>
      </c>
      <c r="H206" t="s">
        <v>46</v>
      </c>
      <c r="I206">
        <v>2</v>
      </c>
      <c r="J206">
        <v>331.74</v>
      </c>
      <c r="K206">
        <v>0.08</v>
      </c>
      <c r="L206">
        <v>610.4</v>
      </c>
      <c r="M206">
        <v>397.56</v>
      </c>
      <c r="N206">
        <v>550.29999999999995</v>
      </c>
      <c r="O206" s="3">
        <f>_xlfn.XLOOKUP(SalesData[[#This Row],[Product]],ProductLookup[Product],ProductLookup[Standard_Price],"Not Found")</f>
        <v>340</v>
      </c>
      <c r="P206" s="3">
        <f>SalesData[[#This Row],[Revenue]]-SalesData[[#This Row],[Cost]]</f>
        <v>212.83999999999997</v>
      </c>
      <c r="Q206" s="5">
        <f>IFERROR(SalesData[[#This Row],[Profit]]/SalesData[[#This Row],[Revenue]],0)</f>
        <v>0.34868938401048488</v>
      </c>
      <c r="R206" s="3">
        <f>SalesData[[#This Row],[Revenue]]-SalesData[[#This Row],[Target]]</f>
        <v>60.100000000000023</v>
      </c>
      <c r="S206" s="3" t="str">
        <f t="shared" si="3"/>
        <v>Above Target</v>
      </c>
    </row>
    <row r="207" spans="1:19" ht="13.8">
      <c r="A207" t="s">
        <v>372</v>
      </c>
      <c r="B207" s="21">
        <v>45847</v>
      </c>
      <c r="C207" t="s">
        <v>15</v>
      </c>
      <c r="D207" t="s">
        <v>64</v>
      </c>
      <c r="E207" t="s">
        <v>94</v>
      </c>
      <c r="F207" t="s">
        <v>18</v>
      </c>
      <c r="G207" t="s">
        <v>26</v>
      </c>
      <c r="H207" t="s">
        <v>39</v>
      </c>
      <c r="I207">
        <v>12</v>
      </c>
      <c r="J207">
        <v>213.88</v>
      </c>
      <c r="K207">
        <v>0</v>
      </c>
      <c r="L207">
        <v>2566.56</v>
      </c>
      <c r="M207">
        <v>2071.67</v>
      </c>
      <c r="N207">
        <v>2838.31</v>
      </c>
      <c r="O207" s="3">
        <f>_xlfn.XLOOKUP(SalesData[[#This Row],[Product]],ProductLookup[Product],ProductLookup[Standard_Price],"Not Found")</f>
        <v>220</v>
      </c>
      <c r="P207" s="3">
        <f>SalesData[[#This Row],[Revenue]]-SalesData[[#This Row],[Cost]]</f>
        <v>494.88999999999987</v>
      </c>
      <c r="Q207" s="5">
        <f>IFERROR(SalesData[[#This Row],[Profit]]/SalesData[[#This Row],[Revenue]],0)</f>
        <v>0.19282229910853432</v>
      </c>
      <c r="R207" s="3">
        <f>SalesData[[#This Row],[Revenue]]-SalesData[[#This Row],[Target]]</f>
        <v>-271.75</v>
      </c>
      <c r="S207" s="3" t="str">
        <f t="shared" si="3"/>
        <v>Below Target</v>
      </c>
    </row>
    <row r="208" spans="1:19" ht="13.8">
      <c r="A208" t="s">
        <v>373</v>
      </c>
      <c r="B208" s="21">
        <v>45682</v>
      </c>
      <c r="C208" t="s">
        <v>15</v>
      </c>
      <c r="D208" t="s">
        <v>16</v>
      </c>
      <c r="E208" t="s">
        <v>69</v>
      </c>
      <c r="F208" t="s">
        <v>32</v>
      </c>
      <c r="G208" t="s">
        <v>26</v>
      </c>
      <c r="H208" t="s">
        <v>27</v>
      </c>
      <c r="I208">
        <v>13</v>
      </c>
      <c r="J208">
        <v>320.43</v>
      </c>
      <c r="K208">
        <v>0.1</v>
      </c>
      <c r="L208">
        <v>3749.03</v>
      </c>
      <c r="M208">
        <v>2782.8</v>
      </c>
      <c r="N208">
        <v>4185.8</v>
      </c>
      <c r="O208" s="3">
        <f>_xlfn.XLOOKUP(SalesData[[#This Row],[Product]],ProductLookup[Product],ProductLookup[Standard_Price],"Not Found")</f>
        <v>320</v>
      </c>
      <c r="P208" s="3">
        <f>SalesData[[#This Row],[Revenue]]-SalesData[[#This Row],[Cost]]</f>
        <v>966.23</v>
      </c>
      <c r="Q208" s="5">
        <f>IFERROR(SalesData[[#This Row],[Profit]]/SalesData[[#This Row],[Revenue]],0)</f>
        <v>0.25772799897573506</v>
      </c>
      <c r="R208" s="3">
        <f>SalesData[[#This Row],[Revenue]]-SalesData[[#This Row],[Target]]</f>
        <v>-436.77</v>
      </c>
      <c r="S208" s="3" t="str">
        <f t="shared" si="3"/>
        <v>Below Target</v>
      </c>
    </row>
    <row r="209" spans="1:19" ht="13.8">
      <c r="A209" t="s">
        <v>374</v>
      </c>
      <c r="B209" s="21">
        <v>45660</v>
      </c>
      <c r="C209" t="s">
        <v>15</v>
      </c>
      <c r="D209" t="s">
        <v>68</v>
      </c>
      <c r="E209" t="s">
        <v>120</v>
      </c>
      <c r="F209" t="s">
        <v>32</v>
      </c>
      <c r="G209" t="s">
        <v>26</v>
      </c>
      <c r="H209" t="s">
        <v>39</v>
      </c>
      <c r="I209">
        <v>11</v>
      </c>
      <c r="J209">
        <v>225.46</v>
      </c>
      <c r="K209">
        <v>0.08</v>
      </c>
      <c r="L209">
        <v>2281.66</v>
      </c>
      <c r="M209">
        <v>1665.89</v>
      </c>
      <c r="N209">
        <v>2422.88</v>
      </c>
      <c r="O209" s="3">
        <f>_xlfn.XLOOKUP(SalesData[[#This Row],[Product]],ProductLookup[Product],ProductLookup[Standard_Price],"Not Found")</f>
        <v>220</v>
      </c>
      <c r="P209" s="3">
        <f>SalesData[[#This Row],[Revenue]]-SalesData[[#This Row],[Cost]]</f>
        <v>615.76999999999975</v>
      </c>
      <c r="Q209" s="5">
        <f>IFERROR(SalesData[[#This Row],[Profit]]/SalesData[[#This Row],[Revenue]],0)</f>
        <v>0.26987807122884205</v>
      </c>
      <c r="R209" s="3">
        <f>SalesData[[#This Row],[Revenue]]-SalesData[[#This Row],[Target]]</f>
        <v>-141.22000000000025</v>
      </c>
      <c r="S209" s="3" t="str">
        <f t="shared" si="3"/>
        <v>Below Target</v>
      </c>
    </row>
    <row r="210" spans="1:19" ht="27.6">
      <c r="A210" t="s">
        <v>375</v>
      </c>
      <c r="B210" s="21">
        <v>45789</v>
      </c>
      <c r="C210" t="s">
        <v>29</v>
      </c>
      <c r="D210" t="s">
        <v>82</v>
      </c>
      <c r="E210" t="s">
        <v>127</v>
      </c>
      <c r="F210" t="s">
        <v>18</v>
      </c>
      <c r="G210" t="s">
        <v>33</v>
      </c>
      <c r="H210" t="s">
        <v>34</v>
      </c>
      <c r="I210">
        <v>2</v>
      </c>
      <c r="J210">
        <v>34.56</v>
      </c>
      <c r="K210">
        <v>0.05</v>
      </c>
      <c r="L210">
        <v>65.66</v>
      </c>
      <c r="M210">
        <v>41.83</v>
      </c>
      <c r="N210">
        <v>61.54</v>
      </c>
      <c r="O210" s="3">
        <f>_xlfn.XLOOKUP(SalesData[[#This Row],[Product]],ProductLookup[Product],ProductLookup[Standard_Price],"Not Found")</f>
        <v>35</v>
      </c>
      <c r="P210" s="3">
        <f>SalesData[[#This Row],[Revenue]]-SalesData[[#This Row],[Cost]]</f>
        <v>23.83</v>
      </c>
      <c r="Q210" s="5">
        <f>IFERROR(SalesData[[#This Row],[Profit]]/SalesData[[#This Row],[Revenue]],0)</f>
        <v>0.36293024672555591</v>
      </c>
      <c r="R210" s="3">
        <f>SalesData[[#This Row],[Revenue]]-SalesData[[#This Row],[Target]]</f>
        <v>4.1199999999999974</v>
      </c>
      <c r="S210" s="3" t="str">
        <f t="shared" si="3"/>
        <v>Above Target</v>
      </c>
    </row>
    <row r="211" spans="1:19" ht="13.8">
      <c r="A211" t="s">
        <v>376</v>
      </c>
      <c r="B211" s="21">
        <v>45897</v>
      </c>
      <c r="C211" t="s">
        <v>15</v>
      </c>
      <c r="D211" t="s">
        <v>64</v>
      </c>
      <c r="E211" t="s">
        <v>224</v>
      </c>
      <c r="F211" t="s">
        <v>32</v>
      </c>
      <c r="G211" t="s">
        <v>45</v>
      </c>
      <c r="H211" t="s">
        <v>46</v>
      </c>
      <c r="I211">
        <v>15</v>
      </c>
      <c r="J211">
        <v>329.63</v>
      </c>
      <c r="K211">
        <v>0</v>
      </c>
      <c r="L211">
        <v>4944.45</v>
      </c>
      <c r="M211">
        <v>3137.4</v>
      </c>
      <c r="N211">
        <v>5339.42</v>
      </c>
      <c r="O211" s="3">
        <f>_xlfn.XLOOKUP(SalesData[[#This Row],[Product]],ProductLookup[Product],ProductLookup[Standard_Price],"Not Found")</f>
        <v>340</v>
      </c>
      <c r="P211" s="3">
        <f>SalesData[[#This Row],[Revenue]]-SalesData[[#This Row],[Cost]]</f>
        <v>1807.0499999999997</v>
      </c>
      <c r="Q211" s="5">
        <f>IFERROR(SalesData[[#This Row],[Profit]]/SalesData[[#This Row],[Revenue]],0)</f>
        <v>0.36547037587598213</v>
      </c>
      <c r="R211" s="3">
        <f>SalesData[[#This Row],[Revenue]]-SalesData[[#This Row],[Target]]</f>
        <v>-394.97000000000025</v>
      </c>
      <c r="S211" s="3" t="str">
        <f t="shared" si="3"/>
        <v>Below Target</v>
      </c>
    </row>
    <row r="212" spans="1:19" ht="13.8">
      <c r="A212" t="s">
        <v>377</v>
      </c>
      <c r="B212" s="21">
        <v>45729</v>
      </c>
      <c r="C212" t="s">
        <v>22</v>
      </c>
      <c r="D212" t="s">
        <v>30</v>
      </c>
      <c r="E212" t="s">
        <v>120</v>
      </c>
      <c r="F212" t="s">
        <v>25</v>
      </c>
      <c r="G212" t="s">
        <v>45</v>
      </c>
      <c r="H212" t="s">
        <v>47</v>
      </c>
      <c r="I212">
        <v>8</v>
      </c>
      <c r="J212">
        <v>439.23</v>
      </c>
      <c r="K212">
        <v>0.05</v>
      </c>
      <c r="L212">
        <v>3338.15</v>
      </c>
      <c r="M212">
        <v>2621.4299999999998</v>
      </c>
      <c r="N212">
        <v>3440.99</v>
      </c>
      <c r="O212" s="3">
        <f>_xlfn.XLOOKUP(SalesData[[#This Row],[Product]],ProductLookup[Product],ProductLookup[Standard_Price],"Not Found")</f>
        <v>420</v>
      </c>
      <c r="P212" s="3">
        <f>SalesData[[#This Row],[Revenue]]-SalesData[[#This Row],[Cost]]</f>
        <v>716.72000000000025</v>
      </c>
      <c r="Q212" s="5">
        <f>IFERROR(SalesData[[#This Row],[Profit]]/SalesData[[#This Row],[Revenue]],0)</f>
        <v>0.21470575019097413</v>
      </c>
      <c r="R212" s="3">
        <f>SalesData[[#This Row],[Revenue]]-SalesData[[#This Row],[Target]]</f>
        <v>-102.83999999999969</v>
      </c>
      <c r="S212" s="3" t="str">
        <f t="shared" si="3"/>
        <v>Below Target</v>
      </c>
    </row>
    <row r="213" spans="1:19" ht="27.6">
      <c r="A213" t="s">
        <v>378</v>
      </c>
      <c r="B213" s="21">
        <v>45902</v>
      </c>
      <c r="C213" t="s">
        <v>22</v>
      </c>
      <c r="D213" t="s">
        <v>64</v>
      </c>
      <c r="E213" t="s">
        <v>124</v>
      </c>
      <c r="F213" t="s">
        <v>25</v>
      </c>
      <c r="G213" t="s">
        <v>19</v>
      </c>
      <c r="H213" t="s">
        <v>37</v>
      </c>
      <c r="I213">
        <v>11</v>
      </c>
      <c r="J213">
        <v>1085.26</v>
      </c>
      <c r="K213">
        <v>0.03</v>
      </c>
      <c r="L213">
        <v>11579.72</v>
      </c>
      <c r="M213">
        <v>7512.5</v>
      </c>
      <c r="N213">
        <v>10347.799999999999</v>
      </c>
      <c r="O213" s="3">
        <f>_xlfn.XLOOKUP(SalesData[[#This Row],[Product]],ProductLookup[Product],ProductLookup[Standard_Price],"Not Found")</f>
        <v>1100</v>
      </c>
      <c r="P213" s="3">
        <f>SalesData[[#This Row],[Revenue]]-SalesData[[#This Row],[Cost]]</f>
        <v>4067.2199999999993</v>
      </c>
      <c r="Q213" s="5">
        <f>IFERROR(SalesData[[#This Row],[Profit]]/SalesData[[#This Row],[Revenue]],0)</f>
        <v>0.35123647203904756</v>
      </c>
      <c r="R213" s="3">
        <f>SalesData[[#This Row],[Revenue]]-SalesData[[#This Row],[Target]]</f>
        <v>1231.92</v>
      </c>
      <c r="S213" s="3" t="str">
        <f t="shared" si="3"/>
        <v>Above Target</v>
      </c>
    </row>
    <row r="214" spans="1:19" ht="27.6">
      <c r="A214" t="s">
        <v>379</v>
      </c>
      <c r="B214" s="21">
        <v>45882</v>
      </c>
      <c r="C214" t="s">
        <v>67</v>
      </c>
      <c r="D214" t="s">
        <v>30</v>
      </c>
      <c r="E214" t="s">
        <v>380</v>
      </c>
      <c r="F214" t="s">
        <v>25</v>
      </c>
      <c r="G214" t="s">
        <v>19</v>
      </c>
      <c r="H214" t="s">
        <v>38</v>
      </c>
      <c r="I214">
        <v>5</v>
      </c>
      <c r="J214">
        <v>942.23</v>
      </c>
      <c r="K214">
        <v>0.02</v>
      </c>
      <c r="L214">
        <v>4616.93</v>
      </c>
      <c r="M214">
        <v>2928.29</v>
      </c>
      <c r="N214">
        <v>4363.3</v>
      </c>
      <c r="O214" s="3">
        <f>_xlfn.XLOOKUP(SalesData[[#This Row],[Product]],ProductLookup[Product],ProductLookup[Standard_Price],"Not Found")</f>
        <v>950</v>
      </c>
      <c r="P214" s="3">
        <f>SalesData[[#This Row],[Revenue]]-SalesData[[#This Row],[Cost]]</f>
        <v>1688.6400000000003</v>
      </c>
      <c r="Q214" s="5">
        <f>IFERROR(SalesData[[#This Row],[Profit]]/SalesData[[#This Row],[Revenue]],0)</f>
        <v>0.36574953486407641</v>
      </c>
      <c r="R214" s="3">
        <f>SalesData[[#This Row],[Revenue]]-SalesData[[#This Row],[Target]]</f>
        <v>253.63000000000011</v>
      </c>
      <c r="S214" s="3" t="str">
        <f t="shared" si="3"/>
        <v>Above Target</v>
      </c>
    </row>
    <row r="215" spans="1:19" ht="13.8">
      <c r="A215" t="s">
        <v>381</v>
      </c>
      <c r="B215" s="21">
        <v>45791</v>
      </c>
      <c r="C215" t="s">
        <v>15</v>
      </c>
      <c r="D215" t="s">
        <v>82</v>
      </c>
      <c r="E215" t="s">
        <v>127</v>
      </c>
      <c r="F215" t="s">
        <v>25</v>
      </c>
      <c r="G215" t="s">
        <v>33</v>
      </c>
      <c r="H215" t="s">
        <v>41</v>
      </c>
      <c r="I215">
        <v>2</v>
      </c>
      <c r="J215">
        <v>83.45</v>
      </c>
      <c r="K215">
        <v>0.05</v>
      </c>
      <c r="L215">
        <v>158.56</v>
      </c>
      <c r="M215">
        <v>99.12</v>
      </c>
      <c r="N215">
        <v>176.77</v>
      </c>
      <c r="O215" s="3">
        <f>_xlfn.XLOOKUP(SalesData[[#This Row],[Product]],ProductLookup[Product],ProductLookup[Standard_Price],"Not Found")</f>
        <v>85</v>
      </c>
      <c r="P215" s="3">
        <f>SalesData[[#This Row],[Revenue]]-SalesData[[#This Row],[Cost]]</f>
        <v>59.44</v>
      </c>
      <c r="Q215" s="5">
        <f>IFERROR(SalesData[[#This Row],[Profit]]/SalesData[[#This Row],[Revenue]],0)</f>
        <v>0.37487386478304741</v>
      </c>
      <c r="R215" s="3">
        <f>SalesData[[#This Row],[Revenue]]-SalesData[[#This Row],[Target]]</f>
        <v>-18.210000000000008</v>
      </c>
      <c r="S215" s="3" t="str">
        <f t="shared" si="3"/>
        <v>Below Target</v>
      </c>
    </row>
    <row r="216" spans="1:19" ht="13.8">
      <c r="A216" t="s">
        <v>382</v>
      </c>
      <c r="B216" s="21">
        <v>45944</v>
      </c>
      <c r="C216" t="s">
        <v>22</v>
      </c>
      <c r="D216" t="s">
        <v>30</v>
      </c>
      <c r="E216" t="s">
        <v>256</v>
      </c>
      <c r="F216" t="s">
        <v>25</v>
      </c>
      <c r="G216" t="s">
        <v>33</v>
      </c>
      <c r="H216" t="s">
        <v>41</v>
      </c>
      <c r="I216">
        <v>14</v>
      </c>
      <c r="J216">
        <v>83.18</v>
      </c>
      <c r="K216">
        <v>0.03</v>
      </c>
      <c r="L216">
        <v>1129.58</v>
      </c>
      <c r="M216">
        <v>865.33</v>
      </c>
      <c r="N216">
        <v>1257.19</v>
      </c>
      <c r="O216" s="3">
        <f>_xlfn.XLOOKUP(SalesData[[#This Row],[Product]],ProductLookup[Product],ProductLookup[Standard_Price],"Not Found")</f>
        <v>85</v>
      </c>
      <c r="P216" s="3">
        <f>SalesData[[#This Row],[Revenue]]-SalesData[[#This Row],[Cost]]</f>
        <v>264.24999999999989</v>
      </c>
      <c r="Q216" s="5">
        <f>IFERROR(SalesData[[#This Row],[Profit]]/SalesData[[#This Row],[Revenue]],0)</f>
        <v>0.23393650737442226</v>
      </c>
      <c r="R216" s="3">
        <f>SalesData[[#This Row],[Revenue]]-SalesData[[#This Row],[Target]]</f>
        <v>-127.61000000000013</v>
      </c>
      <c r="S216" s="3" t="str">
        <f t="shared" si="3"/>
        <v>Below Target</v>
      </c>
    </row>
    <row r="217" spans="1:19" ht="13.8">
      <c r="A217" t="s">
        <v>383</v>
      </c>
      <c r="B217" s="21">
        <v>45707</v>
      </c>
      <c r="C217" t="s">
        <v>67</v>
      </c>
      <c r="D217" t="s">
        <v>23</v>
      </c>
      <c r="E217" t="s">
        <v>139</v>
      </c>
      <c r="F217" t="s">
        <v>18</v>
      </c>
      <c r="G217" t="s">
        <v>33</v>
      </c>
      <c r="H217" t="s">
        <v>34</v>
      </c>
      <c r="I217">
        <v>5</v>
      </c>
      <c r="J217">
        <v>34.700000000000003</v>
      </c>
      <c r="K217">
        <v>0.02</v>
      </c>
      <c r="L217">
        <v>170.03</v>
      </c>
      <c r="M217">
        <v>104.17</v>
      </c>
      <c r="N217">
        <v>179.27</v>
      </c>
      <c r="O217" s="3">
        <f>_xlfn.XLOOKUP(SalesData[[#This Row],[Product]],ProductLookup[Product],ProductLookup[Standard_Price],"Not Found")</f>
        <v>35</v>
      </c>
      <c r="P217" s="3">
        <f>SalesData[[#This Row],[Revenue]]-SalesData[[#This Row],[Cost]]</f>
        <v>65.86</v>
      </c>
      <c r="Q217" s="5">
        <f>IFERROR(SalesData[[#This Row],[Profit]]/SalesData[[#This Row],[Revenue]],0)</f>
        <v>0.38734340998647299</v>
      </c>
      <c r="R217" s="3">
        <f>SalesData[[#This Row],[Revenue]]-SalesData[[#This Row],[Target]]</f>
        <v>-9.2400000000000091</v>
      </c>
      <c r="S217" s="3" t="str">
        <f t="shared" si="3"/>
        <v>Below Target</v>
      </c>
    </row>
    <row r="218" spans="1:19" ht="13.8">
      <c r="A218" t="s">
        <v>384</v>
      </c>
      <c r="B218" s="21">
        <v>45884</v>
      </c>
      <c r="C218" t="s">
        <v>67</v>
      </c>
      <c r="D218" t="s">
        <v>23</v>
      </c>
      <c r="E218" t="s">
        <v>153</v>
      </c>
      <c r="F218" t="s">
        <v>74</v>
      </c>
      <c r="G218" t="s">
        <v>45</v>
      </c>
      <c r="H218" t="s">
        <v>47</v>
      </c>
      <c r="I218">
        <v>9</v>
      </c>
      <c r="J218">
        <v>413.32</v>
      </c>
      <c r="K218">
        <v>0.02</v>
      </c>
      <c r="L218">
        <v>3645.48</v>
      </c>
      <c r="M218">
        <v>2542.58</v>
      </c>
      <c r="N218">
        <v>3898.82</v>
      </c>
      <c r="O218" s="3">
        <f>_xlfn.XLOOKUP(SalesData[[#This Row],[Product]],ProductLookup[Product],ProductLookup[Standard_Price],"Not Found")</f>
        <v>420</v>
      </c>
      <c r="P218" s="3">
        <f>SalesData[[#This Row],[Revenue]]-SalesData[[#This Row],[Cost]]</f>
        <v>1102.9000000000001</v>
      </c>
      <c r="Q218" s="5">
        <f>IFERROR(SalesData[[#This Row],[Profit]]/SalesData[[#This Row],[Revenue]],0)</f>
        <v>0.30253903464015713</v>
      </c>
      <c r="R218" s="3">
        <f>SalesData[[#This Row],[Revenue]]-SalesData[[#This Row],[Target]]</f>
        <v>-253.34000000000015</v>
      </c>
      <c r="S218" s="3" t="str">
        <f t="shared" si="3"/>
        <v>Below Target</v>
      </c>
    </row>
    <row r="219" spans="1:19" ht="27.6">
      <c r="A219" t="s">
        <v>385</v>
      </c>
      <c r="B219" s="21">
        <v>45678</v>
      </c>
      <c r="C219" t="s">
        <v>29</v>
      </c>
      <c r="D219" t="s">
        <v>82</v>
      </c>
      <c r="E219" t="s">
        <v>192</v>
      </c>
      <c r="F219" t="s">
        <v>25</v>
      </c>
      <c r="G219" t="s">
        <v>33</v>
      </c>
      <c r="H219" t="s">
        <v>34</v>
      </c>
      <c r="I219">
        <v>4</v>
      </c>
      <c r="J219">
        <v>34.22</v>
      </c>
      <c r="K219">
        <v>0.02</v>
      </c>
      <c r="L219">
        <v>134.13999999999999</v>
      </c>
      <c r="M219">
        <v>84.56</v>
      </c>
      <c r="N219">
        <v>123.84</v>
      </c>
      <c r="O219" s="3">
        <f>_xlfn.XLOOKUP(SalesData[[#This Row],[Product]],ProductLookup[Product],ProductLookup[Standard_Price],"Not Found")</f>
        <v>35</v>
      </c>
      <c r="P219" s="3">
        <f>SalesData[[#This Row],[Revenue]]-SalesData[[#This Row],[Cost]]</f>
        <v>49.579999999999984</v>
      </c>
      <c r="Q219" s="5">
        <f>IFERROR(SalesData[[#This Row],[Profit]]/SalesData[[#This Row],[Revenue]],0)</f>
        <v>0.36961383629044275</v>
      </c>
      <c r="R219" s="3">
        <f>SalesData[[#This Row],[Revenue]]-SalesData[[#This Row],[Target]]</f>
        <v>10.299999999999983</v>
      </c>
      <c r="S219" s="3" t="str">
        <f t="shared" si="3"/>
        <v>Above Target</v>
      </c>
    </row>
    <row r="220" spans="1:19" ht="13.8">
      <c r="A220" t="s">
        <v>386</v>
      </c>
      <c r="B220" s="21">
        <v>45965</v>
      </c>
      <c r="C220" t="s">
        <v>29</v>
      </c>
      <c r="D220" t="s">
        <v>23</v>
      </c>
      <c r="E220" t="s">
        <v>273</v>
      </c>
      <c r="F220" t="s">
        <v>25</v>
      </c>
      <c r="G220" t="s">
        <v>19</v>
      </c>
      <c r="H220" t="s">
        <v>37</v>
      </c>
      <c r="I220">
        <v>14</v>
      </c>
      <c r="J220">
        <v>1054.6199999999999</v>
      </c>
      <c r="K220">
        <v>0.08</v>
      </c>
      <c r="L220">
        <v>13583.51</v>
      </c>
      <c r="M220">
        <v>10334.16</v>
      </c>
      <c r="N220">
        <v>14435.29</v>
      </c>
      <c r="O220" s="3">
        <f>_xlfn.XLOOKUP(SalesData[[#This Row],[Product]],ProductLookup[Product],ProductLookup[Standard_Price],"Not Found")</f>
        <v>1100</v>
      </c>
      <c r="P220" s="3">
        <f>SalesData[[#This Row],[Revenue]]-SalesData[[#This Row],[Cost]]</f>
        <v>3249.3500000000004</v>
      </c>
      <c r="Q220" s="5">
        <f>IFERROR(SalesData[[#This Row],[Profit]]/SalesData[[#This Row],[Revenue]],0)</f>
        <v>0.23921283968576607</v>
      </c>
      <c r="R220" s="3">
        <f>SalesData[[#This Row],[Revenue]]-SalesData[[#This Row],[Target]]</f>
        <v>-851.78000000000065</v>
      </c>
      <c r="S220" s="3" t="str">
        <f t="shared" si="3"/>
        <v>Below Target</v>
      </c>
    </row>
    <row r="221" spans="1:19" ht="27.6">
      <c r="A221" t="s">
        <v>387</v>
      </c>
      <c r="B221" s="21">
        <v>45956</v>
      </c>
      <c r="C221" t="s">
        <v>15</v>
      </c>
      <c r="D221" t="s">
        <v>64</v>
      </c>
      <c r="E221" t="s">
        <v>184</v>
      </c>
      <c r="F221" t="s">
        <v>32</v>
      </c>
      <c r="G221" t="s">
        <v>26</v>
      </c>
      <c r="H221" t="s">
        <v>27</v>
      </c>
      <c r="I221">
        <v>4</v>
      </c>
      <c r="J221">
        <v>304.32</v>
      </c>
      <c r="K221">
        <v>0.1</v>
      </c>
      <c r="L221">
        <v>1095.55</v>
      </c>
      <c r="M221">
        <v>833.93</v>
      </c>
      <c r="N221">
        <v>1071.3900000000001</v>
      </c>
      <c r="O221" s="3">
        <f>_xlfn.XLOOKUP(SalesData[[#This Row],[Product]],ProductLookup[Product],ProductLookup[Standard_Price],"Not Found")</f>
        <v>320</v>
      </c>
      <c r="P221" s="3">
        <f>SalesData[[#This Row],[Revenue]]-SalesData[[#This Row],[Cost]]</f>
        <v>261.62</v>
      </c>
      <c r="Q221" s="5">
        <f>IFERROR(SalesData[[#This Row],[Profit]]/SalesData[[#This Row],[Revenue]],0)</f>
        <v>0.23880242800419882</v>
      </c>
      <c r="R221" s="3">
        <f>SalesData[[#This Row],[Revenue]]-SalesData[[#This Row],[Target]]</f>
        <v>24.159999999999854</v>
      </c>
      <c r="S221" s="3" t="str">
        <f t="shared" si="3"/>
        <v>Above Target</v>
      </c>
    </row>
    <row r="222" spans="1:19" ht="27.6">
      <c r="A222" t="s">
        <v>388</v>
      </c>
      <c r="B222" s="21">
        <v>45829</v>
      </c>
      <c r="C222" t="s">
        <v>22</v>
      </c>
      <c r="D222" t="s">
        <v>23</v>
      </c>
      <c r="E222" t="s">
        <v>186</v>
      </c>
      <c r="F222" t="s">
        <v>32</v>
      </c>
      <c r="G222" t="s">
        <v>26</v>
      </c>
      <c r="H222" t="s">
        <v>27</v>
      </c>
      <c r="I222">
        <v>14</v>
      </c>
      <c r="J222">
        <v>324.45</v>
      </c>
      <c r="K222">
        <v>0.05</v>
      </c>
      <c r="L222">
        <v>4315.1899999999996</v>
      </c>
      <c r="M222">
        <v>2674.87</v>
      </c>
      <c r="N222">
        <v>4221.4799999999996</v>
      </c>
      <c r="O222" s="3">
        <f>_xlfn.XLOOKUP(SalesData[[#This Row],[Product]],ProductLookup[Product],ProductLookup[Standard_Price],"Not Found")</f>
        <v>320</v>
      </c>
      <c r="P222" s="3">
        <f>SalesData[[#This Row],[Revenue]]-SalesData[[#This Row],[Cost]]</f>
        <v>1640.3199999999997</v>
      </c>
      <c r="Q222" s="5">
        <f>IFERROR(SalesData[[#This Row],[Profit]]/SalesData[[#This Row],[Revenue]],0)</f>
        <v>0.38012694690152687</v>
      </c>
      <c r="R222" s="3">
        <f>SalesData[[#This Row],[Revenue]]-SalesData[[#This Row],[Target]]</f>
        <v>93.710000000000036</v>
      </c>
      <c r="S222" s="3" t="str">
        <f t="shared" si="3"/>
        <v>Above Target</v>
      </c>
    </row>
    <row r="223" spans="1:19" ht="13.8">
      <c r="A223" t="s">
        <v>389</v>
      </c>
      <c r="B223" s="21">
        <v>45785</v>
      </c>
      <c r="C223" t="s">
        <v>15</v>
      </c>
      <c r="D223" t="s">
        <v>30</v>
      </c>
      <c r="E223" t="s">
        <v>246</v>
      </c>
      <c r="F223" t="s">
        <v>74</v>
      </c>
      <c r="G223" t="s">
        <v>19</v>
      </c>
      <c r="H223" t="s">
        <v>38</v>
      </c>
      <c r="I223">
        <v>10</v>
      </c>
      <c r="J223">
        <v>981.5</v>
      </c>
      <c r="K223">
        <v>0.03</v>
      </c>
      <c r="L223">
        <v>9520.5499999999993</v>
      </c>
      <c r="M223">
        <v>5789.14</v>
      </c>
      <c r="N223">
        <v>9982.69</v>
      </c>
      <c r="O223" s="3">
        <f>_xlfn.XLOOKUP(SalesData[[#This Row],[Product]],ProductLookup[Product],ProductLookup[Standard_Price],"Not Found")</f>
        <v>950</v>
      </c>
      <c r="P223" s="3">
        <f>SalesData[[#This Row],[Revenue]]-SalesData[[#This Row],[Cost]]</f>
        <v>3731.4099999999989</v>
      </c>
      <c r="Q223" s="5">
        <f>IFERROR(SalesData[[#This Row],[Profit]]/SalesData[[#This Row],[Revenue]],0)</f>
        <v>0.39193218879161384</v>
      </c>
      <c r="R223" s="3">
        <f>SalesData[[#This Row],[Revenue]]-SalesData[[#This Row],[Target]]</f>
        <v>-462.14000000000124</v>
      </c>
      <c r="S223" s="3" t="str">
        <f t="shared" si="3"/>
        <v>Below Target</v>
      </c>
    </row>
    <row r="224" spans="1:19" ht="13.8">
      <c r="A224" t="s">
        <v>390</v>
      </c>
      <c r="B224" s="21">
        <v>45922</v>
      </c>
      <c r="C224" t="s">
        <v>67</v>
      </c>
      <c r="D224" t="s">
        <v>82</v>
      </c>
      <c r="E224" t="s">
        <v>186</v>
      </c>
      <c r="F224" t="s">
        <v>74</v>
      </c>
      <c r="G224" t="s">
        <v>19</v>
      </c>
      <c r="H224" t="s">
        <v>37</v>
      </c>
      <c r="I224">
        <v>2</v>
      </c>
      <c r="J224">
        <v>1084.24</v>
      </c>
      <c r="K224">
        <v>0.02</v>
      </c>
      <c r="L224">
        <v>2125.11</v>
      </c>
      <c r="M224">
        <v>1656.82</v>
      </c>
      <c r="N224">
        <v>2311.5100000000002</v>
      </c>
      <c r="O224" s="3">
        <f>_xlfn.XLOOKUP(SalesData[[#This Row],[Product]],ProductLookup[Product],ProductLookup[Standard_Price],"Not Found")</f>
        <v>1100</v>
      </c>
      <c r="P224" s="3">
        <f>SalesData[[#This Row],[Revenue]]-SalesData[[#This Row],[Cost]]</f>
        <v>468.29000000000019</v>
      </c>
      <c r="Q224" s="5">
        <f>IFERROR(SalesData[[#This Row],[Profit]]/SalesData[[#This Row],[Revenue]],0)</f>
        <v>0.22036035781677191</v>
      </c>
      <c r="R224" s="3">
        <f>SalesData[[#This Row],[Revenue]]-SalesData[[#This Row],[Target]]</f>
        <v>-186.40000000000009</v>
      </c>
      <c r="S224" s="3" t="str">
        <f t="shared" si="3"/>
        <v>Below Target</v>
      </c>
    </row>
    <row r="225" spans="1:19" ht="27.6">
      <c r="A225" t="s">
        <v>391</v>
      </c>
      <c r="B225" s="21">
        <v>45953</v>
      </c>
      <c r="C225" t="s">
        <v>15</v>
      </c>
      <c r="D225" t="s">
        <v>64</v>
      </c>
      <c r="E225" t="s">
        <v>380</v>
      </c>
      <c r="F225" t="s">
        <v>25</v>
      </c>
      <c r="G225" t="s">
        <v>45</v>
      </c>
      <c r="H225" t="s">
        <v>47</v>
      </c>
      <c r="I225">
        <v>15</v>
      </c>
      <c r="J225">
        <v>401.57</v>
      </c>
      <c r="K225">
        <v>0</v>
      </c>
      <c r="L225">
        <v>6023.55</v>
      </c>
      <c r="M225">
        <v>4878.42</v>
      </c>
      <c r="N225">
        <v>6016.04</v>
      </c>
      <c r="O225" s="3">
        <f>_xlfn.XLOOKUP(SalesData[[#This Row],[Product]],ProductLookup[Product],ProductLookup[Standard_Price],"Not Found")</f>
        <v>420</v>
      </c>
      <c r="P225" s="3">
        <f>SalesData[[#This Row],[Revenue]]-SalesData[[#This Row],[Cost]]</f>
        <v>1145.1300000000001</v>
      </c>
      <c r="Q225" s="5">
        <f>IFERROR(SalesData[[#This Row],[Profit]]/SalesData[[#This Row],[Revenue]],0)</f>
        <v>0.19010882287023434</v>
      </c>
      <c r="R225" s="3">
        <f>SalesData[[#This Row],[Revenue]]-SalesData[[#This Row],[Target]]</f>
        <v>7.5100000000002183</v>
      </c>
      <c r="S225" s="3" t="str">
        <f t="shared" si="3"/>
        <v>Above Target</v>
      </c>
    </row>
    <row r="226" spans="1:19" ht="27.6">
      <c r="A226" t="s">
        <v>392</v>
      </c>
      <c r="B226" s="21">
        <v>45668</v>
      </c>
      <c r="C226" t="s">
        <v>15</v>
      </c>
      <c r="D226" t="s">
        <v>16</v>
      </c>
      <c r="E226" t="s">
        <v>71</v>
      </c>
      <c r="F226" t="s">
        <v>25</v>
      </c>
      <c r="G226" t="s">
        <v>26</v>
      </c>
      <c r="H226" t="s">
        <v>39</v>
      </c>
      <c r="I226">
        <v>2</v>
      </c>
      <c r="J226">
        <v>213.92</v>
      </c>
      <c r="K226">
        <v>0.02</v>
      </c>
      <c r="L226">
        <v>419.28</v>
      </c>
      <c r="M226">
        <v>267.05</v>
      </c>
      <c r="N226">
        <v>400.35</v>
      </c>
      <c r="O226" s="3">
        <f>_xlfn.XLOOKUP(SalesData[[#This Row],[Product]],ProductLookup[Product],ProductLookup[Standard_Price],"Not Found")</f>
        <v>220</v>
      </c>
      <c r="P226" s="3">
        <f>SalesData[[#This Row],[Revenue]]-SalesData[[#This Row],[Cost]]</f>
        <v>152.22999999999996</v>
      </c>
      <c r="Q226" s="5">
        <f>IFERROR(SalesData[[#This Row],[Profit]]/SalesData[[#This Row],[Revenue]],0)</f>
        <v>0.36307479488647199</v>
      </c>
      <c r="R226" s="3">
        <f>SalesData[[#This Row],[Revenue]]-SalesData[[#This Row],[Target]]</f>
        <v>18.92999999999995</v>
      </c>
      <c r="S226" s="3" t="str">
        <f t="shared" si="3"/>
        <v>Above Target</v>
      </c>
    </row>
    <row r="227" spans="1:19" ht="27.6">
      <c r="A227" t="s">
        <v>393</v>
      </c>
      <c r="B227" s="21">
        <v>45791</v>
      </c>
      <c r="C227" t="s">
        <v>22</v>
      </c>
      <c r="D227" t="s">
        <v>16</v>
      </c>
      <c r="E227" t="s">
        <v>145</v>
      </c>
      <c r="F227" t="s">
        <v>18</v>
      </c>
      <c r="G227" t="s">
        <v>19</v>
      </c>
      <c r="H227" t="s">
        <v>20</v>
      </c>
      <c r="I227">
        <v>14</v>
      </c>
      <c r="J227">
        <v>858.45</v>
      </c>
      <c r="K227">
        <v>0.08</v>
      </c>
      <c r="L227">
        <v>11056.84</v>
      </c>
      <c r="M227">
        <v>7762.64</v>
      </c>
      <c r="N227">
        <v>10362.56</v>
      </c>
      <c r="O227" s="3">
        <f>_xlfn.XLOOKUP(SalesData[[#This Row],[Product]],ProductLookup[Product],ProductLookup[Standard_Price],"Not Found")</f>
        <v>850</v>
      </c>
      <c r="P227" s="3">
        <f>SalesData[[#This Row],[Revenue]]-SalesData[[#This Row],[Cost]]</f>
        <v>3294.2</v>
      </c>
      <c r="Q227" s="5">
        <f>IFERROR(SalesData[[#This Row],[Profit]]/SalesData[[#This Row],[Revenue]],0)</f>
        <v>0.29793322504440689</v>
      </c>
      <c r="R227" s="3">
        <f>SalesData[[#This Row],[Revenue]]-SalesData[[#This Row],[Target]]</f>
        <v>694.28000000000065</v>
      </c>
      <c r="S227" s="3" t="str">
        <f t="shared" si="3"/>
        <v>Above Target</v>
      </c>
    </row>
    <row r="228" spans="1:19" ht="13.8">
      <c r="A228" t="s">
        <v>394</v>
      </c>
      <c r="B228" s="21">
        <v>45749</v>
      </c>
      <c r="C228" t="s">
        <v>15</v>
      </c>
      <c r="D228" t="s">
        <v>16</v>
      </c>
      <c r="E228" t="s">
        <v>330</v>
      </c>
      <c r="F228" t="s">
        <v>74</v>
      </c>
      <c r="G228" t="s">
        <v>19</v>
      </c>
      <c r="H228" t="s">
        <v>20</v>
      </c>
      <c r="I228">
        <v>5</v>
      </c>
      <c r="J228">
        <v>817.96</v>
      </c>
      <c r="K228">
        <v>0.05</v>
      </c>
      <c r="L228">
        <v>3885.31</v>
      </c>
      <c r="M228">
        <v>2832</v>
      </c>
      <c r="N228">
        <v>4129.16</v>
      </c>
      <c r="O228" s="3">
        <f>_xlfn.XLOOKUP(SalesData[[#This Row],[Product]],ProductLookup[Product],ProductLookup[Standard_Price],"Not Found")</f>
        <v>850</v>
      </c>
      <c r="P228" s="3">
        <f>SalesData[[#This Row],[Revenue]]-SalesData[[#This Row],[Cost]]</f>
        <v>1053.31</v>
      </c>
      <c r="Q228" s="5">
        <f>IFERROR(SalesData[[#This Row],[Profit]]/SalesData[[#This Row],[Revenue]],0)</f>
        <v>0.27110063289673153</v>
      </c>
      <c r="R228" s="3">
        <f>SalesData[[#This Row],[Revenue]]-SalesData[[#This Row],[Target]]</f>
        <v>-243.84999999999991</v>
      </c>
      <c r="S228" s="3" t="str">
        <f t="shared" si="3"/>
        <v>Below Target</v>
      </c>
    </row>
    <row r="229" spans="1:19" ht="13.8">
      <c r="A229" t="s">
        <v>395</v>
      </c>
      <c r="B229" s="21">
        <v>45728</v>
      </c>
      <c r="C229" t="s">
        <v>22</v>
      </c>
      <c r="D229" t="s">
        <v>23</v>
      </c>
      <c r="E229" t="s">
        <v>221</v>
      </c>
      <c r="F229" t="s">
        <v>18</v>
      </c>
      <c r="G229" t="s">
        <v>33</v>
      </c>
      <c r="H229" t="s">
        <v>42</v>
      </c>
      <c r="I229">
        <v>10</v>
      </c>
      <c r="J229">
        <v>58.36</v>
      </c>
      <c r="K229">
        <v>0.02</v>
      </c>
      <c r="L229">
        <v>571.92999999999995</v>
      </c>
      <c r="M229">
        <v>361.68</v>
      </c>
      <c r="N229">
        <v>581.92999999999995</v>
      </c>
      <c r="O229" s="3">
        <f>_xlfn.XLOOKUP(SalesData[[#This Row],[Product]],ProductLookup[Product],ProductLookup[Standard_Price],"Not Found")</f>
        <v>60</v>
      </c>
      <c r="P229" s="3">
        <f>SalesData[[#This Row],[Revenue]]-SalesData[[#This Row],[Cost]]</f>
        <v>210.24999999999994</v>
      </c>
      <c r="Q229" s="5">
        <f>IFERROR(SalesData[[#This Row],[Profit]]/SalesData[[#This Row],[Revenue]],0)</f>
        <v>0.36761491790953432</v>
      </c>
      <c r="R229" s="3">
        <f>SalesData[[#This Row],[Revenue]]-SalesData[[#This Row],[Target]]</f>
        <v>-10</v>
      </c>
      <c r="S229" s="3" t="str">
        <f t="shared" si="3"/>
        <v>Below Target</v>
      </c>
    </row>
    <row r="230" spans="1:19" ht="27.6">
      <c r="A230" t="s">
        <v>396</v>
      </c>
      <c r="B230" s="21">
        <v>45983</v>
      </c>
      <c r="C230" t="s">
        <v>15</v>
      </c>
      <c r="D230" t="s">
        <v>30</v>
      </c>
      <c r="E230" t="s">
        <v>316</v>
      </c>
      <c r="F230" t="s">
        <v>74</v>
      </c>
      <c r="G230" t="s">
        <v>33</v>
      </c>
      <c r="H230" t="s">
        <v>34</v>
      </c>
      <c r="I230">
        <v>12</v>
      </c>
      <c r="J230">
        <v>34.72</v>
      </c>
      <c r="K230">
        <v>0.08</v>
      </c>
      <c r="L230">
        <v>383.31</v>
      </c>
      <c r="M230">
        <v>274.31</v>
      </c>
      <c r="N230">
        <v>373.71</v>
      </c>
      <c r="O230" s="3">
        <f>_xlfn.XLOOKUP(SalesData[[#This Row],[Product]],ProductLookup[Product],ProductLookup[Standard_Price],"Not Found")</f>
        <v>35</v>
      </c>
      <c r="P230" s="3">
        <f>SalesData[[#This Row],[Revenue]]-SalesData[[#This Row],[Cost]]</f>
        <v>109</v>
      </c>
      <c r="Q230" s="5">
        <f>IFERROR(SalesData[[#This Row],[Profit]]/SalesData[[#This Row],[Revenue]],0)</f>
        <v>0.28436513526910334</v>
      </c>
      <c r="R230" s="3">
        <f>SalesData[[#This Row],[Revenue]]-SalesData[[#This Row],[Target]]</f>
        <v>9.6000000000000227</v>
      </c>
      <c r="S230" s="3" t="str">
        <f t="shared" si="3"/>
        <v>Above Target</v>
      </c>
    </row>
    <row r="231" spans="1:19" ht="13.8">
      <c r="A231" t="s">
        <v>397</v>
      </c>
      <c r="B231" s="21">
        <v>45781</v>
      </c>
      <c r="C231" t="s">
        <v>22</v>
      </c>
      <c r="D231" t="s">
        <v>64</v>
      </c>
      <c r="E231" t="s">
        <v>143</v>
      </c>
      <c r="F231" t="s">
        <v>32</v>
      </c>
      <c r="G231" t="s">
        <v>26</v>
      </c>
      <c r="H231" t="s">
        <v>40</v>
      </c>
      <c r="I231">
        <v>12</v>
      </c>
      <c r="J231">
        <v>447.1</v>
      </c>
      <c r="K231">
        <v>0.08</v>
      </c>
      <c r="L231">
        <v>4935.9799999999996</v>
      </c>
      <c r="M231">
        <v>3835.08</v>
      </c>
      <c r="N231">
        <v>5424.96</v>
      </c>
      <c r="O231" s="3">
        <f>_xlfn.XLOOKUP(SalesData[[#This Row],[Product]],ProductLookup[Product],ProductLookup[Standard_Price],"Not Found")</f>
        <v>450</v>
      </c>
      <c r="P231" s="3">
        <f>SalesData[[#This Row],[Revenue]]-SalesData[[#This Row],[Cost]]</f>
        <v>1100.8999999999996</v>
      </c>
      <c r="Q231" s="5">
        <f>IFERROR(SalesData[[#This Row],[Profit]]/SalesData[[#This Row],[Revenue]],0)</f>
        <v>0.22303574973966664</v>
      </c>
      <c r="R231" s="3">
        <f>SalesData[[#This Row],[Revenue]]-SalesData[[#This Row],[Target]]</f>
        <v>-488.98000000000047</v>
      </c>
      <c r="S231" s="3" t="str">
        <f t="shared" si="3"/>
        <v>Below Target</v>
      </c>
    </row>
    <row r="232" spans="1:19" ht="13.8">
      <c r="A232" t="s">
        <v>398</v>
      </c>
      <c r="B232" s="21">
        <v>45922</v>
      </c>
      <c r="C232" t="s">
        <v>15</v>
      </c>
      <c r="D232" t="s">
        <v>30</v>
      </c>
      <c r="E232" t="s">
        <v>399</v>
      </c>
      <c r="F232" t="s">
        <v>25</v>
      </c>
      <c r="G232" t="s">
        <v>19</v>
      </c>
      <c r="H232" t="s">
        <v>38</v>
      </c>
      <c r="I232">
        <v>11</v>
      </c>
      <c r="J232">
        <v>991.26</v>
      </c>
      <c r="K232">
        <v>0.02</v>
      </c>
      <c r="L232">
        <v>10685.78</v>
      </c>
      <c r="M232">
        <v>8457.89</v>
      </c>
      <c r="N232">
        <v>11104.11</v>
      </c>
      <c r="O232" s="3">
        <f>_xlfn.XLOOKUP(SalesData[[#This Row],[Product]],ProductLookup[Product],ProductLookup[Standard_Price],"Not Found")</f>
        <v>950</v>
      </c>
      <c r="P232" s="3">
        <f>SalesData[[#This Row],[Revenue]]-SalesData[[#This Row],[Cost]]</f>
        <v>2227.8900000000012</v>
      </c>
      <c r="Q232" s="5">
        <f>IFERROR(SalesData[[#This Row],[Profit]]/SalesData[[#This Row],[Revenue]],0)</f>
        <v>0.20849109751464107</v>
      </c>
      <c r="R232" s="3">
        <f>SalesData[[#This Row],[Revenue]]-SalesData[[#This Row],[Target]]</f>
        <v>-418.32999999999993</v>
      </c>
      <c r="S232" s="3" t="str">
        <f t="shared" si="3"/>
        <v>Below Target</v>
      </c>
    </row>
    <row r="233" spans="1:19" ht="27.6">
      <c r="A233" t="s">
        <v>400</v>
      </c>
      <c r="B233" s="21">
        <v>45693</v>
      </c>
      <c r="C233" t="s">
        <v>22</v>
      </c>
      <c r="D233" t="s">
        <v>68</v>
      </c>
      <c r="E233" t="s">
        <v>139</v>
      </c>
      <c r="F233" t="s">
        <v>18</v>
      </c>
      <c r="G233" t="s">
        <v>26</v>
      </c>
      <c r="H233" t="s">
        <v>40</v>
      </c>
      <c r="I233">
        <v>7</v>
      </c>
      <c r="J233">
        <v>436.54</v>
      </c>
      <c r="K233">
        <v>0.1</v>
      </c>
      <c r="L233">
        <v>2750.2</v>
      </c>
      <c r="M233">
        <v>1662.72</v>
      </c>
      <c r="N233">
        <v>2512.19</v>
      </c>
      <c r="O233" s="3">
        <f>_xlfn.XLOOKUP(SalesData[[#This Row],[Product]],ProductLookup[Product],ProductLookup[Standard_Price],"Not Found")</f>
        <v>450</v>
      </c>
      <c r="P233" s="3">
        <f>SalesData[[#This Row],[Revenue]]-SalesData[[#This Row],[Cost]]</f>
        <v>1087.4799999999998</v>
      </c>
      <c r="Q233" s="5">
        <f>IFERROR(SalesData[[#This Row],[Profit]]/SalesData[[#This Row],[Revenue]],0)</f>
        <v>0.39541851501708963</v>
      </c>
      <c r="R233" s="3">
        <f>SalesData[[#This Row],[Revenue]]-SalesData[[#This Row],[Target]]</f>
        <v>238.00999999999976</v>
      </c>
      <c r="S233" s="3" t="str">
        <f t="shared" si="3"/>
        <v>Above Target</v>
      </c>
    </row>
    <row r="234" spans="1:19" ht="13.8">
      <c r="A234" t="s">
        <v>401</v>
      </c>
      <c r="B234" s="21">
        <v>45678</v>
      </c>
      <c r="C234" t="s">
        <v>15</v>
      </c>
      <c r="D234" t="s">
        <v>64</v>
      </c>
      <c r="E234" t="s">
        <v>71</v>
      </c>
      <c r="F234" t="s">
        <v>32</v>
      </c>
      <c r="G234" t="s">
        <v>19</v>
      </c>
      <c r="H234" t="s">
        <v>20</v>
      </c>
      <c r="I234">
        <v>14</v>
      </c>
      <c r="J234">
        <v>862.03</v>
      </c>
      <c r="K234">
        <v>0.03</v>
      </c>
      <c r="L234">
        <v>11706.37</v>
      </c>
      <c r="M234">
        <v>9387.86</v>
      </c>
      <c r="N234">
        <v>12053.26</v>
      </c>
      <c r="O234" s="3">
        <f>_xlfn.XLOOKUP(SalesData[[#This Row],[Product]],ProductLookup[Product],ProductLookup[Standard_Price],"Not Found")</f>
        <v>850</v>
      </c>
      <c r="P234" s="3">
        <f>SalesData[[#This Row],[Revenue]]-SalesData[[#This Row],[Cost]]</f>
        <v>2318.5100000000002</v>
      </c>
      <c r="Q234" s="5">
        <f>IFERROR(SalesData[[#This Row],[Profit]]/SalesData[[#This Row],[Revenue]],0)</f>
        <v>0.19805541769139368</v>
      </c>
      <c r="R234" s="3">
        <f>SalesData[[#This Row],[Revenue]]-SalesData[[#This Row],[Target]]</f>
        <v>-346.88999999999942</v>
      </c>
      <c r="S234" s="3" t="str">
        <f t="shared" si="3"/>
        <v>Below Target</v>
      </c>
    </row>
    <row r="235" spans="1:19" ht="27.6">
      <c r="A235" t="s">
        <v>402</v>
      </c>
      <c r="B235" s="21">
        <v>45720</v>
      </c>
      <c r="C235" t="s">
        <v>29</v>
      </c>
      <c r="D235" t="s">
        <v>16</v>
      </c>
      <c r="E235" t="s">
        <v>277</v>
      </c>
      <c r="F235" t="s">
        <v>32</v>
      </c>
      <c r="G235" t="s">
        <v>33</v>
      </c>
      <c r="H235" t="s">
        <v>42</v>
      </c>
      <c r="I235">
        <v>1</v>
      </c>
      <c r="J235">
        <v>59.6</v>
      </c>
      <c r="K235">
        <v>0</v>
      </c>
      <c r="L235">
        <v>59.6</v>
      </c>
      <c r="M235">
        <v>39.53</v>
      </c>
      <c r="N235">
        <v>56.82</v>
      </c>
      <c r="O235" s="3">
        <f>_xlfn.XLOOKUP(SalesData[[#This Row],[Product]],ProductLookup[Product],ProductLookup[Standard_Price],"Not Found")</f>
        <v>60</v>
      </c>
      <c r="P235" s="3">
        <f>SalesData[[#This Row],[Revenue]]-SalesData[[#This Row],[Cost]]</f>
        <v>20.07</v>
      </c>
      <c r="Q235" s="5">
        <f>IFERROR(SalesData[[#This Row],[Profit]]/SalesData[[#This Row],[Revenue]],0)</f>
        <v>0.33674496644295304</v>
      </c>
      <c r="R235" s="3">
        <f>SalesData[[#This Row],[Revenue]]-SalesData[[#This Row],[Target]]</f>
        <v>2.7800000000000011</v>
      </c>
      <c r="S235" s="3" t="str">
        <f t="shared" si="3"/>
        <v>Above Target</v>
      </c>
    </row>
    <row r="236" spans="1:19" ht="13.8">
      <c r="A236" t="s">
        <v>403</v>
      </c>
      <c r="B236" s="21">
        <v>45701</v>
      </c>
      <c r="C236" t="s">
        <v>67</v>
      </c>
      <c r="D236" t="s">
        <v>68</v>
      </c>
      <c r="E236" t="s">
        <v>195</v>
      </c>
      <c r="F236" t="s">
        <v>32</v>
      </c>
      <c r="G236" t="s">
        <v>33</v>
      </c>
      <c r="H236" t="s">
        <v>41</v>
      </c>
      <c r="I236">
        <v>10</v>
      </c>
      <c r="J236">
        <v>85.29</v>
      </c>
      <c r="K236">
        <v>0.02</v>
      </c>
      <c r="L236">
        <v>835.84</v>
      </c>
      <c r="M236">
        <v>582.41</v>
      </c>
      <c r="N236">
        <v>838.17</v>
      </c>
      <c r="O236" s="3">
        <f>_xlfn.XLOOKUP(SalesData[[#This Row],[Product]],ProductLookup[Product],ProductLookup[Standard_Price],"Not Found")</f>
        <v>85</v>
      </c>
      <c r="P236" s="3">
        <f>SalesData[[#This Row],[Revenue]]-SalesData[[#This Row],[Cost]]</f>
        <v>253.43000000000006</v>
      </c>
      <c r="Q236" s="5">
        <f>IFERROR(SalesData[[#This Row],[Profit]]/SalesData[[#This Row],[Revenue]],0)</f>
        <v>0.30320396248085763</v>
      </c>
      <c r="R236" s="3">
        <f>SalesData[[#This Row],[Revenue]]-SalesData[[#This Row],[Target]]</f>
        <v>-2.3299999999999272</v>
      </c>
      <c r="S236" s="3" t="str">
        <f t="shared" si="3"/>
        <v>Below Target</v>
      </c>
    </row>
    <row r="237" spans="1:19" ht="27.6">
      <c r="A237" t="s">
        <v>404</v>
      </c>
      <c r="B237" s="21">
        <v>45798</v>
      </c>
      <c r="C237" t="s">
        <v>29</v>
      </c>
      <c r="D237" t="s">
        <v>82</v>
      </c>
      <c r="E237" t="s">
        <v>85</v>
      </c>
      <c r="F237" t="s">
        <v>25</v>
      </c>
      <c r="G237" t="s">
        <v>26</v>
      </c>
      <c r="H237" t="s">
        <v>39</v>
      </c>
      <c r="I237">
        <v>12</v>
      </c>
      <c r="J237">
        <v>210.93</v>
      </c>
      <c r="K237">
        <v>0.08</v>
      </c>
      <c r="L237">
        <v>2328.67</v>
      </c>
      <c r="M237">
        <v>1544.32</v>
      </c>
      <c r="N237">
        <v>2303.04</v>
      </c>
      <c r="O237" s="3">
        <f>_xlfn.XLOOKUP(SalesData[[#This Row],[Product]],ProductLookup[Product],ProductLookup[Standard_Price],"Not Found")</f>
        <v>220</v>
      </c>
      <c r="P237" s="3">
        <f>SalesData[[#This Row],[Revenue]]-SalesData[[#This Row],[Cost]]</f>
        <v>784.35000000000014</v>
      </c>
      <c r="Q237" s="5">
        <f>IFERROR(SalesData[[#This Row],[Profit]]/SalesData[[#This Row],[Revenue]],0)</f>
        <v>0.33682316515435856</v>
      </c>
      <c r="R237" s="3">
        <f>SalesData[[#This Row],[Revenue]]-SalesData[[#This Row],[Target]]</f>
        <v>25.630000000000109</v>
      </c>
      <c r="S237" s="3" t="str">
        <f t="shared" si="3"/>
        <v>Above Target</v>
      </c>
    </row>
    <row r="238" spans="1:19" ht="27.6">
      <c r="A238" t="s">
        <v>405</v>
      </c>
      <c r="B238" s="21">
        <v>45938</v>
      </c>
      <c r="C238" t="s">
        <v>67</v>
      </c>
      <c r="D238" t="s">
        <v>16</v>
      </c>
      <c r="E238" t="s">
        <v>254</v>
      </c>
      <c r="F238" t="s">
        <v>32</v>
      </c>
      <c r="G238" t="s">
        <v>45</v>
      </c>
      <c r="H238" t="s">
        <v>46</v>
      </c>
      <c r="I238">
        <v>6</v>
      </c>
      <c r="J238">
        <v>338.67</v>
      </c>
      <c r="K238">
        <v>0.08</v>
      </c>
      <c r="L238">
        <v>1869.46</v>
      </c>
      <c r="M238">
        <v>1246.58</v>
      </c>
      <c r="N238">
        <v>1859.52</v>
      </c>
      <c r="O238" s="3">
        <f>_xlfn.XLOOKUP(SalesData[[#This Row],[Product]],ProductLookup[Product],ProductLookup[Standard_Price],"Not Found")</f>
        <v>340</v>
      </c>
      <c r="P238" s="3">
        <f>SalesData[[#This Row],[Revenue]]-SalesData[[#This Row],[Cost]]</f>
        <v>622.88000000000011</v>
      </c>
      <c r="Q238" s="5">
        <f>IFERROR(SalesData[[#This Row],[Profit]]/SalesData[[#This Row],[Revenue]],0)</f>
        <v>0.33318712355439545</v>
      </c>
      <c r="R238" s="3">
        <f>SalesData[[#This Row],[Revenue]]-SalesData[[#This Row],[Target]]</f>
        <v>9.9400000000000546</v>
      </c>
      <c r="S238" s="3" t="str">
        <f t="shared" si="3"/>
        <v>Above Target</v>
      </c>
    </row>
    <row r="239" spans="1:19" ht="13.8">
      <c r="A239" t="s">
        <v>406</v>
      </c>
      <c r="B239" s="21">
        <v>45771</v>
      </c>
      <c r="C239" t="s">
        <v>29</v>
      </c>
      <c r="D239" t="s">
        <v>23</v>
      </c>
      <c r="E239" t="s">
        <v>120</v>
      </c>
      <c r="F239" t="s">
        <v>32</v>
      </c>
      <c r="G239" t="s">
        <v>26</v>
      </c>
      <c r="H239" t="s">
        <v>39</v>
      </c>
      <c r="I239">
        <v>9</v>
      </c>
      <c r="J239">
        <v>221.01</v>
      </c>
      <c r="K239">
        <v>0.08</v>
      </c>
      <c r="L239">
        <v>1829.96</v>
      </c>
      <c r="M239">
        <v>1257.5899999999999</v>
      </c>
      <c r="N239">
        <v>2016.26</v>
      </c>
      <c r="O239" s="3">
        <f>_xlfn.XLOOKUP(SalesData[[#This Row],[Product]],ProductLookup[Product],ProductLookup[Standard_Price],"Not Found")</f>
        <v>220</v>
      </c>
      <c r="P239" s="3">
        <f>SalesData[[#This Row],[Revenue]]-SalesData[[#This Row],[Cost]]</f>
        <v>572.37000000000012</v>
      </c>
      <c r="Q239" s="5">
        <f>IFERROR(SalesData[[#This Row],[Profit]]/SalesData[[#This Row],[Revenue]],0)</f>
        <v>0.31277732846619605</v>
      </c>
      <c r="R239" s="3">
        <f>SalesData[[#This Row],[Revenue]]-SalesData[[#This Row],[Target]]</f>
        <v>-186.29999999999995</v>
      </c>
      <c r="S239" s="3" t="str">
        <f t="shared" si="3"/>
        <v>Below Target</v>
      </c>
    </row>
    <row r="240" spans="1:19" ht="13.8">
      <c r="A240" t="s">
        <v>407</v>
      </c>
      <c r="B240" s="21">
        <v>45909</v>
      </c>
      <c r="C240" t="s">
        <v>29</v>
      </c>
      <c r="D240" t="s">
        <v>64</v>
      </c>
      <c r="E240" t="s">
        <v>218</v>
      </c>
      <c r="F240" t="s">
        <v>32</v>
      </c>
      <c r="G240" t="s">
        <v>26</v>
      </c>
      <c r="H240" t="s">
        <v>27</v>
      </c>
      <c r="I240">
        <v>5</v>
      </c>
      <c r="J240">
        <v>332.11</v>
      </c>
      <c r="K240">
        <v>0.02</v>
      </c>
      <c r="L240">
        <v>1627.34</v>
      </c>
      <c r="M240">
        <v>1082.2</v>
      </c>
      <c r="N240">
        <v>1733.62</v>
      </c>
      <c r="O240" s="3">
        <f>_xlfn.XLOOKUP(SalesData[[#This Row],[Product]],ProductLookup[Product],ProductLookup[Standard_Price],"Not Found")</f>
        <v>320</v>
      </c>
      <c r="P240" s="3">
        <f>SalesData[[#This Row],[Revenue]]-SalesData[[#This Row],[Cost]]</f>
        <v>545.13999999999987</v>
      </c>
      <c r="Q240" s="5">
        <f>IFERROR(SalesData[[#This Row],[Profit]]/SalesData[[#This Row],[Revenue]],0)</f>
        <v>0.33498838595499397</v>
      </c>
      <c r="R240" s="3">
        <f>SalesData[[#This Row],[Revenue]]-SalesData[[#This Row],[Target]]</f>
        <v>-106.27999999999997</v>
      </c>
      <c r="S240" s="3" t="str">
        <f t="shared" si="3"/>
        <v>Below Target</v>
      </c>
    </row>
    <row r="241" spans="1:19" ht="13.8">
      <c r="A241" t="s">
        <v>408</v>
      </c>
      <c r="B241" s="21">
        <v>45883</v>
      </c>
      <c r="C241" t="s">
        <v>29</v>
      </c>
      <c r="D241" t="s">
        <v>82</v>
      </c>
      <c r="E241" t="s">
        <v>87</v>
      </c>
      <c r="F241" t="s">
        <v>25</v>
      </c>
      <c r="G241" t="s">
        <v>45</v>
      </c>
      <c r="H241" t="s">
        <v>44</v>
      </c>
      <c r="I241">
        <v>1</v>
      </c>
      <c r="J241">
        <v>260.44</v>
      </c>
      <c r="K241">
        <v>0.05</v>
      </c>
      <c r="L241">
        <v>247.42</v>
      </c>
      <c r="M241">
        <v>167.73</v>
      </c>
      <c r="N241">
        <v>263.02999999999997</v>
      </c>
      <c r="O241" s="3">
        <f>_xlfn.XLOOKUP(SalesData[[#This Row],[Product]],ProductLookup[Product],ProductLookup[Standard_Price],"Not Found")</f>
        <v>260</v>
      </c>
      <c r="P241" s="3">
        <f>SalesData[[#This Row],[Revenue]]-SalesData[[#This Row],[Cost]]</f>
        <v>79.69</v>
      </c>
      <c r="Q241" s="5">
        <f>IFERROR(SalesData[[#This Row],[Profit]]/SalesData[[#This Row],[Revenue]],0)</f>
        <v>0.32208390590898067</v>
      </c>
      <c r="R241" s="3">
        <f>SalesData[[#This Row],[Revenue]]-SalesData[[#This Row],[Target]]</f>
        <v>-15.609999999999985</v>
      </c>
      <c r="S241" s="3" t="str">
        <f t="shared" si="3"/>
        <v>Below Target</v>
      </c>
    </row>
    <row r="242" spans="1:19" ht="13.8">
      <c r="A242" t="s">
        <v>409</v>
      </c>
      <c r="B242" s="21">
        <v>45871</v>
      </c>
      <c r="C242" t="s">
        <v>67</v>
      </c>
      <c r="D242" t="s">
        <v>64</v>
      </c>
      <c r="E242" t="s">
        <v>71</v>
      </c>
      <c r="F242" t="s">
        <v>74</v>
      </c>
      <c r="G242" t="s">
        <v>26</v>
      </c>
      <c r="H242" t="s">
        <v>40</v>
      </c>
      <c r="I242">
        <v>11</v>
      </c>
      <c r="J242">
        <v>443.36</v>
      </c>
      <c r="K242">
        <v>0.1</v>
      </c>
      <c r="L242">
        <v>4389.26</v>
      </c>
      <c r="M242">
        <v>2829.09</v>
      </c>
      <c r="N242">
        <v>4505.93</v>
      </c>
      <c r="O242" s="3">
        <f>_xlfn.XLOOKUP(SalesData[[#This Row],[Product]],ProductLookup[Product],ProductLookup[Standard_Price],"Not Found")</f>
        <v>450</v>
      </c>
      <c r="P242" s="3">
        <f>SalesData[[#This Row],[Revenue]]-SalesData[[#This Row],[Cost]]</f>
        <v>1560.17</v>
      </c>
      <c r="Q242" s="5">
        <f>IFERROR(SalesData[[#This Row],[Profit]]/SalesData[[#This Row],[Revenue]],0)</f>
        <v>0.35545171623462724</v>
      </c>
      <c r="R242" s="3">
        <f>SalesData[[#This Row],[Revenue]]-SalesData[[#This Row],[Target]]</f>
        <v>-116.67000000000007</v>
      </c>
      <c r="S242" s="3" t="str">
        <f t="shared" si="3"/>
        <v>Below Target</v>
      </c>
    </row>
    <row r="243" spans="1:19" ht="13.8">
      <c r="A243" t="s">
        <v>410</v>
      </c>
      <c r="B243" s="21">
        <v>45795</v>
      </c>
      <c r="C243" t="s">
        <v>15</v>
      </c>
      <c r="D243" t="s">
        <v>68</v>
      </c>
      <c r="E243" t="s">
        <v>342</v>
      </c>
      <c r="F243" t="s">
        <v>18</v>
      </c>
      <c r="G243" t="s">
        <v>45</v>
      </c>
      <c r="H243" t="s">
        <v>47</v>
      </c>
      <c r="I243">
        <v>11</v>
      </c>
      <c r="J243">
        <v>428.76</v>
      </c>
      <c r="K243">
        <v>0.1</v>
      </c>
      <c r="L243">
        <v>4244.72</v>
      </c>
      <c r="M243">
        <v>2665.68</v>
      </c>
      <c r="N243">
        <v>4622.49</v>
      </c>
      <c r="O243" s="3">
        <f>_xlfn.XLOOKUP(SalesData[[#This Row],[Product]],ProductLookup[Product],ProductLookup[Standard_Price],"Not Found")</f>
        <v>420</v>
      </c>
      <c r="P243" s="3">
        <f>SalesData[[#This Row],[Revenue]]-SalesData[[#This Row],[Cost]]</f>
        <v>1579.0400000000004</v>
      </c>
      <c r="Q243" s="5">
        <f>IFERROR(SalesData[[#This Row],[Profit]]/SalesData[[#This Row],[Revenue]],0)</f>
        <v>0.37200098004108639</v>
      </c>
      <c r="R243" s="3">
        <f>SalesData[[#This Row],[Revenue]]-SalesData[[#This Row],[Target]]</f>
        <v>-377.76999999999953</v>
      </c>
      <c r="S243" s="3" t="str">
        <f t="shared" si="3"/>
        <v>Below Target</v>
      </c>
    </row>
    <row r="244" spans="1:19" ht="13.8">
      <c r="A244" t="s">
        <v>411</v>
      </c>
      <c r="B244" s="21">
        <v>45912</v>
      </c>
      <c r="C244" t="s">
        <v>22</v>
      </c>
      <c r="D244" t="s">
        <v>68</v>
      </c>
      <c r="E244" t="s">
        <v>80</v>
      </c>
      <c r="F244" t="s">
        <v>74</v>
      </c>
      <c r="G244" t="s">
        <v>33</v>
      </c>
      <c r="H244" t="s">
        <v>34</v>
      </c>
      <c r="I244">
        <v>10</v>
      </c>
      <c r="J244">
        <v>33.770000000000003</v>
      </c>
      <c r="K244">
        <v>0.03</v>
      </c>
      <c r="L244">
        <v>327.57</v>
      </c>
      <c r="M244">
        <v>259.44</v>
      </c>
      <c r="N244">
        <v>336.01</v>
      </c>
      <c r="O244" s="3">
        <f>_xlfn.XLOOKUP(SalesData[[#This Row],[Product]],ProductLookup[Product],ProductLookup[Standard_Price],"Not Found")</f>
        <v>35</v>
      </c>
      <c r="P244" s="3">
        <f>SalesData[[#This Row],[Revenue]]-SalesData[[#This Row],[Cost]]</f>
        <v>68.13</v>
      </c>
      <c r="Q244" s="5">
        <f>IFERROR(SalesData[[#This Row],[Profit]]/SalesData[[#This Row],[Revenue]],0)</f>
        <v>0.20798607931129223</v>
      </c>
      <c r="R244" s="3">
        <f>SalesData[[#This Row],[Revenue]]-SalesData[[#This Row],[Target]]</f>
        <v>-8.4399999999999977</v>
      </c>
      <c r="S244" s="3" t="str">
        <f t="shared" si="3"/>
        <v>Below Target</v>
      </c>
    </row>
    <row r="245" spans="1:19" ht="13.8">
      <c r="A245" t="s">
        <v>412</v>
      </c>
      <c r="B245" s="21">
        <v>45805</v>
      </c>
      <c r="C245" t="s">
        <v>67</v>
      </c>
      <c r="D245" t="s">
        <v>16</v>
      </c>
      <c r="E245" t="s">
        <v>250</v>
      </c>
      <c r="F245" t="s">
        <v>74</v>
      </c>
      <c r="G245" t="s">
        <v>45</v>
      </c>
      <c r="H245" t="s">
        <v>46</v>
      </c>
      <c r="I245">
        <v>6</v>
      </c>
      <c r="J245">
        <v>332.96</v>
      </c>
      <c r="K245">
        <v>0.05</v>
      </c>
      <c r="L245">
        <v>1897.87</v>
      </c>
      <c r="M245">
        <v>1358.39</v>
      </c>
      <c r="N245">
        <v>1941.33</v>
      </c>
      <c r="O245" s="3">
        <f>_xlfn.XLOOKUP(SalesData[[#This Row],[Product]],ProductLookup[Product],ProductLookup[Standard_Price],"Not Found")</f>
        <v>340</v>
      </c>
      <c r="P245" s="3">
        <f>SalesData[[#This Row],[Revenue]]-SalesData[[#This Row],[Cost]]</f>
        <v>539.47999999999979</v>
      </c>
      <c r="Q245" s="5">
        <f>IFERROR(SalesData[[#This Row],[Profit]]/SalesData[[#This Row],[Revenue]],0)</f>
        <v>0.28425550748997552</v>
      </c>
      <c r="R245" s="3">
        <f>SalesData[[#This Row],[Revenue]]-SalesData[[#This Row],[Target]]</f>
        <v>-43.460000000000036</v>
      </c>
      <c r="S245" s="3" t="str">
        <f t="shared" si="3"/>
        <v>Below Target</v>
      </c>
    </row>
    <row r="246" spans="1:19" ht="27.6">
      <c r="A246" t="s">
        <v>413</v>
      </c>
      <c r="B246" s="21">
        <v>45852</v>
      </c>
      <c r="C246" t="s">
        <v>22</v>
      </c>
      <c r="D246" t="s">
        <v>64</v>
      </c>
      <c r="E246" t="s">
        <v>363</v>
      </c>
      <c r="F246" t="s">
        <v>18</v>
      </c>
      <c r="G246" t="s">
        <v>33</v>
      </c>
      <c r="H246" t="s">
        <v>41</v>
      </c>
      <c r="I246">
        <v>5</v>
      </c>
      <c r="J246">
        <v>82.32</v>
      </c>
      <c r="K246">
        <v>0.03</v>
      </c>
      <c r="L246">
        <v>399.25</v>
      </c>
      <c r="M246">
        <v>310.08</v>
      </c>
      <c r="N246">
        <v>393.08</v>
      </c>
      <c r="O246" s="3">
        <f>_xlfn.XLOOKUP(SalesData[[#This Row],[Product]],ProductLookup[Product],ProductLookup[Standard_Price],"Not Found")</f>
        <v>85</v>
      </c>
      <c r="P246" s="3">
        <f>SalesData[[#This Row],[Revenue]]-SalesData[[#This Row],[Cost]]</f>
        <v>89.170000000000016</v>
      </c>
      <c r="Q246" s="5">
        <f>IFERROR(SalesData[[#This Row],[Profit]]/SalesData[[#This Row],[Revenue]],0)</f>
        <v>0.22334376956793991</v>
      </c>
      <c r="R246" s="3">
        <f>SalesData[[#This Row],[Revenue]]-SalesData[[#This Row],[Target]]</f>
        <v>6.1700000000000159</v>
      </c>
      <c r="S246" s="3" t="str">
        <f t="shared" si="3"/>
        <v>Above Target</v>
      </c>
    </row>
    <row r="247" spans="1:19" ht="27.6">
      <c r="A247" t="s">
        <v>414</v>
      </c>
      <c r="B247" s="21">
        <v>45827</v>
      </c>
      <c r="C247" t="s">
        <v>22</v>
      </c>
      <c r="D247" t="s">
        <v>16</v>
      </c>
      <c r="E247" t="s">
        <v>98</v>
      </c>
      <c r="F247" t="s">
        <v>18</v>
      </c>
      <c r="G247" t="s">
        <v>26</v>
      </c>
      <c r="H247" t="s">
        <v>40</v>
      </c>
      <c r="I247">
        <v>14</v>
      </c>
      <c r="J247">
        <v>454.86</v>
      </c>
      <c r="K247">
        <v>0.02</v>
      </c>
      <c r="L247">
        <v>6240.68</v>
      </c>
      <c r="M247">
        <v>5060.74</v>
      </c>
      <c r="N247">
        <v>5797.81</v>
      </c>
      <c r="O247" s="3">
        <f>_xlfn.XLOOKUP(SalesData[[#This Row],[Product]],ProductLookup[Product],ProductLookup[Standard_Price],"Not Found")</f>
        <v>450</v>
      </c>
      <c r="P247" s="3">
        <f>SalesData[[#This Row],[Revenue]]-SalesData[[#This Row],[Cost]]</f>
        <v>1179.9400000000005</v>
      </c>
      <c r="Q247" s="5">
        <f>IFERROR(SalesData[[#This Row],[Profit]]/SalesData[[#This Row],[Revenue]],0)</f>
        <v>0.18907234468038747</v>
      </c>
      <c r="R247" s="3">
        <f>SalesData[[#This Row],[Revenue]]-SalesData[[#This Row],[Target]]</f>
        <v>442.86999999999989</v>
      </c>
      <c r="S247" s="3" t="str">
        <f t="shared" si="3"/>
        <v>Above Target</v>
      </c>
    </row>
    <row r="248" spans="1:19" ht="13.8">
      <c r="A248" t="s">
        <v>415</v>
      </c>
      <c r="B248" s="21">
        <v>45789</v>
      </c>
      <c r="C248" t="s">
        <v>22</v>
      </c>
      <c r="D248" t="s">
        <v>64</v>
      </c>
      <c r="E248" t="s">
        <v>221</v>
      </c>
      <c r="F248" t="s">
        <v>74</v>
      </c>
      <c r="G248" t="s">
        <v>33</v>
      </c>
      <c r="H248" t="s">
        <v>43</v>
      </c>
      <c r="I248">
        <v>15</v>
      </c>
      <c r="J248">
        <v>74.98</v>
      </c>
      <c r="K248">
        <v>0.08</v>
      </c>
      <c r="L248">
        <v>1034.72</v>
      </c>
      <c r="M248">
        <v>796.91</v>
      </c>
      <c r="N248">
        <v>1044.28</v>
      </c>
      <c r="O248" s="3">
        <f>_xlfn.XLOOKUP(SalesData[[#This Row],[Product]],ProductLookup[Product],ProductLookup[Standard_Price],"Not Found")</f>
        <v>75</v>
      </c>
      <c r="P248" s="3">
        <f>SalesData[[#This Row],[Revenue]]-SalesData[[#This Row],[Cost]]</f>
        <v>237.81000000000006</v>
      </c>
      <c r="Q248" s="5">
        <f>IFERROR(SalesData[[#This Row],[Profit]]/SalesData[[#This Row],[Revenue]],0)</f>
        <v>0.22983029225297671</v>
      </c>
      <c r="R248" s="3">
        <f>SalesData[[#This Row],[Revenue]]-SalesData[[#This Row],[Target]]</f>
        <v>-9.5599999999999454</v>
      </c>
      <c r="S248" s="3" t="str">
        <f t="shared" si="3"/>
        <v>Below Target</v>
      </c>
    </row>
    <row r="249" spans="1:19" ht="13.8">
      <c r="A249" t="s">
        <v>416</v>
      </c>
      <c r="B249" s="21">
        <v>45857</v>
      </c>
      <c r="C249" t="s">
        <v>15</v>
      </c>
      <c r="D249" t="s">
        <v>64</v>
      </c>
      <c r="E249" t="s">
        <v>363</v>
      </c>
      <c r="F249" t="s">
        <v>18</v>
      </c>
      <c r="G249" t="s">
        <v>33</v>
      </c>
      <c r="H249" t="s">
        <v>41</v>
      </c>
      <c r="I249">
        <v>6</v>
      </c>
      <c r="J249">
        <v>81.099999999999994</v>
      </c>
      <c r="K249">
        <v>0.1</v>
      </c>
      <c r="L249">
        <v>437.94</v>
      </c>
      <c r="M249">
        <v>296.58999999999997</v>
      </c>
      <c r="N249">
        <v>485.02</v>
      </c>
      <c r="O249" s="3">
        <f>_xlfn.XLOOKUP(SalesData[[#This Row],[Product]],ProductLookup[Product],ProductLookup[Standard_Price],"Not Found")</f>
        <v>85</v>
      </c>
      <c r="P249" s="3">
        <f>SalesData[[#This Row],[Revenue]]-SalesData[[#This Row],[Cost]]</f>
        <v>141.35000000000002</v>
      </c>
      <c r="Q249" s="5">
        <f>IFERROR(SalesData[[#This Row],[Profit]]/SalesData[[#This Row],[Revenue]],0)</f>
        <v>0.32276110882769332</v>
      </c>
      <c r="R249" s="3">
        <f>SalesData[[#This Row],[Revenue]]-SalesData[[#This Row],[Target]]</f>
        <v>-47.079999999999984</v>
      </c>
      <c r="S249" s="3" t="str">
        <f t="shared" si="3"/>
        <v>Below Target</v>
      </c>
    </row>
    <row r="250" spans="1:19" ht="27.6">
      <c r="A250" t="s">
        <v>417</v>
      </c>
      <c r="B250" s="21">
        <v>45867</v>
      </c>
      <c r="C250" t="s">
        <v>29</v>
      </c>
      <c r="D250" t="s">
        <v>68</v>
      </c>
      <c r="E250" t="s">
        <v>170</v>
      </c>
      <c r="F250" t="s">
        <v>74</v>
      </c>
      <c r="G250" t="s">
        <v>26</v>
      </c>
      <c r="H250" t="s">
        <v>40</v>
      </c>
      <c r="I250">
        <v>9</v>
      </c>
      <c r="J250">
        <v>445.54</v>
      </c>
      <c r="K250">
        <v>0.08</v>
      </c>
      <c r="L250">
        <v>3689.07</v>
      </c>
      <c r="M250">
        <v>2966.94</v>
      </c>
      <c r="N250">
        <v>3382.92</v>
      </c>
      <c r="O250" s="3">
        <f>_xlfn.XLOOKUP(SalesData[[#This Row],[Product]],ProductLookup[Product],ProductLookup[Standard_Price],"Not Found")</f>
        <v>450</v>
      </c>
      <c r="P250" s="3">
        <f>SalesData[[#This Row],[Revenue]]-SalesData[[#This Row],[Cost]]</f>
        <v>722.13000000000011</v>
      </c>
      <c r="Q250" s="5">
        <f>IFERROR(SalesData[[#This Row],[Profit]]/SalesData[[#This Row],[Revenue]],0)</f>
        <v>0.19574852198521581</v>
      </c>
      <c r="R250" s="3">
        <f>SalesData[[#This Row],[Revenue]]-SalesData[[#This Row],[Target]]</f>
        <v>306.15000000000009</v>
      </c>
      <c r="S250" s="3" t="str">
        <f t="shared" si="3"/>
        <v>Above Target</v>
      </c>
    </row>
    <row r="251" spans="1:19" ht="13.8">
      <c r="A251" t="s">
        <v>418</v>
      </c>
      <c r="B251" s="21">
        <v>45883</v>
      </c>
      <c r="C251" t="s">
        <v>15</v>
      </c>
      <c r="D251" t="s">
        <v>23</v>
      </c>
      <c r="E251" t="s">
        <v>153</v>
      </c>
      <c r="F251" t="s">
        <v>32</v>
      </c>
      <c r="G251" t="s">
        <v>45</v>
      </c>
      <c r="H251" t="s">
        <v>47</v>
      </c>
      <c r="I251">
        <v>10</v>
      </c>
      <c r="J251">
        <v>436.76</v>
      </c>
      <c r="K251">
        <v>0.08</v>
      </c>
      <c r="L251">
        <v>4018.19</v>
      </c>
      <c r="M251">
        <v>2714.37</v>
      </c>
      <c r="N251">
        <v>4047.25</v>
      </c>
      <c r="O251" s="3">
        <f>_xlfn.XLOOKUP(SalesData[[#This Row],[Product]],ProductLookup[Product],ProductLookup[Standard_Price],"Not Found")</f>
        <v>420</v>
      </c>
      <c r="P251" s="3">
        <f>SalesData[[#This Row],[Revenue]]-SalesData[[#This Row],[Cost]]</f>
        <v>1303.8200000000002</v>
      </c>
      <c r="Q251" s="5">
        <f>IFERROR(SalesData[[#This Row],[Profit]]/SalesData[[#This Row],[Revenue]],0)</f>
        <v>0.32447942979301631</v>
      </c>
      <c r="R251" s="3">
        <f>SalesData[[#This Row],[Revenue]]-SalesData[[#This Row],[Target]]</f>
        <v>-29.059999999999945</v>
      </c>
      <c r="S251" s="3" t="str">
        <f t="shared" si="3"/>
        <v>Below Target</v>
      </c>
    </row>
    <row r="252" spans="1:19" ht="13.8">
      <c r="A252" t="s">
        <v>419</v>
      </c>
      <c r="B252" s="21">
        <v>45845</v>
      </c>
      <c r="C252" t="s">
        <v>67</v>
      </c>
      <c r="D252" t="s">
        <v>64</v>
      </c>
      <c r="E252" t="s">
        <v>124</v>
      </c>
      <c r="F252" t="s">
        <v>74</v>
      </c>
      <c r="G252" t="s">
        <v>19</v>
      </c>
      <c r="H252" t="s">
        <v>37</v>
      </c>
      <c r="I252">
        <v>14</v>
      </c>
      <c r="J252">
        <v>1079.17</v>
      </c>
      <c r="K252">
        <v>0.02</v>
      </c>
      <c r="L252">
        <v>14806.21</v>
      </c>
      <c r="M252">
        <v>9243.7000000000007</v>
      </c>
      <c r="N252">
        <v>16208.1</v>
      </c>
      <c r="O252" s="3">
        <f>_xlfn.XLOOKUP(SalesData[[#This Row],[Product]],ProductLookup[Product],ProductLookup[Standard_Price],"Not Found")</f>
        <v>1100</v>
      </c>
      <c r="P252" s="3">
        <f>SalesData[[#This Row],[Revenue]]-SalesData[[#This Row],[Cost]]</f>
        <v>5562.5099999999984</v>
      </c>
      <c r="Q252" s="5">
        <f>IFERROR(SalesData[[#This Row],[Profit]]/SalesData[[#This Row],[Revenue]],0)</f>
        <v>0.37568763376988429</v>
      </c>
      <c r="R252" s="3">
        <f>SalesData[[#This Row],[Revenue]]-SalesData[[#This Row],[Target]]</f>
        <v>-1401.8900000000012</v>
      </c>
      <c r="S252" s="3" t="str">
        <f t="shared" si="3"/>
        <v>Below Target</v>
      </c>
    </row>
    <row r="253" spans="1:19" ht="13.8">
      <c r="A253" t="s">
        <v>420</v>
      </c>
      <c r="B253" s="21">
        <v>45981</v>
      </c>
      <c r="C253" t="s">
        <v>22</v>
      </c>
      <c r="D253" t="s">
        <v>23</v>
      </c>
      <c r="E253" t="s">
        <v>277</v>
      </c>
      <c r="F253" t="s">
        <v>18</v>
      </c>
      <c r="G253" t="s">
        <v>19</v>
      </c>
      <c r="H253" t="s">
        <v>38</v>
      </c>
      <c r="I253">
        <v>9</v>
      </c>
      <c r="J253">
        <v>930.04</v>
      </c>
      <c r="K253">
        <v>0.08</v>
      </c>
      <c r="L253">
        <v>7700.73</v>
      </c>
      <c r="M253">
        <v>4972.47</v>
      </c>
      <c r="N253">
        <v>8427.32</v>
      </c>
      <c r="O253" s="3">
        <f>_xlfn.XLOOKUP(SalesData[[#This Row],[Product]],ProductLookup[Product],ProductLookup[Standard_Price],"Not Found")</f>
        <v>950</v>
      </c>
      <c r="P253" s="3">
        <f>SalesData[[#This Row],[Revenue]]-SalesData[[#This Row],[Cost]]</f>
        <v>2728.2599999999993</v>
      </c>
      <c r="Q253" s="5">
        <f>IFERROR(SalesData[[#This Row],[Profit]]/SalesData[[#This Row],[Revenue]],0)</f>
        <v>0.35428589237643698</v>
      </c>
      <c r="R253" s="3">
        <f>SalesData[[#This Row],[Revenue]]-SalesData[[#This Row],[Target]]</f>
        <v>-726.59000000000015</v>
      </c>
      <c r="S253" s="3" t="str">
        <f t="shared" si="3"/>
        <v>Below Target</v>
      </c>
    </row>
    <row r="254" spans="1:19" ht="27.6">
      <c r="A254" t="s">
        <v>421</v>
      </c>
      <c r="B254" s="21">
        <v>45838</v>
      </c>
      <c r="C254" t="s">
        <v>15</v>
      </c>
      <c r="D254" t="s">
        <v>30</v>
      </c>
      <c r="E254" t="s">
        <v>322</v>
      </c>
      <c r="F254" t="s">
        <v>18</v>
      </c>
      <c r="G254" t="s">
        <v>33</v>
      </c>
      <c r="H254" t="s">
        <v>43</v>
      </c>
      <c r="I254">
        <v>11</v>
      </c>
      <c r="J254">
        <v>76.02</v>
      </c>
      <c r="K254">
        <v>0</v>
      </c>
      <c r="L254">
        <v>836.22</v>
      </c>
      <c r="M254">
        <v>628.99</v>
      </c>
      <c r="N254">
        <v>738.03</v>
      </c>
      <c r="O254" s="3">
        <f>_xlfn.XLOOKUP(SalesData[[#This Row],[Product]],ProductLookup[Product],ProductLookup[Standard_Price],"Not Found")</f>
        <v>75</v>
      </c>
      <c r="P254" s="3">
        <f>SalesData[[#This Row],[Revenue]]-SalesData[[#This Row],[Cost]]</f>
        <v>207.23000000000002</v>
      </c>
      <c r="Q254" s="5">
        <f>IFERROR(SalesData[[#This Row],[Profit]]/SalesData[[#This Row],[Revenue]],0)</f>
        <v>0.24781755997225613</v>
      </c>
      <c r="R254" s="3">
        <f>SalesData[[#This Row],[Revenue]]-SalesData[[#This Row],[Target]]</f>
        <v>98.190000000000055</v>
      </c>
      <c r="S254" s="3" t="str">
        <f t="shared" si="3"/>
        <v>Above Target</v>
      </c>
    </row>
    <row r="255" spans="1:19" ht="27.6">
      <c r="A255" t="s">
        <v>422</v>
      </c>
      <c r="B255" s="21">
        <v>45813</v>
      </c>
      <c r="C255" t="s">
        <v>22</v>
      </c>
      <c r="D255" t="s">
        <v>64</v>
      </c>
      <c r="E255" t="s">
        <v>333</v>
      </c>
      <c r="F255" t="s">
        <v>32</v>
      </c>
      <c r="G255" t="s">
        <v>33</v>
      </c>
      <c r="H255" t="s">
        <v>34</v>
      </c>
      <c r="I255">
        <v>14</v>
      </c>
      <c r="J255">
        <v>33.590000000000003</v>
      </c>
      <c r="K255">
        <v>0</v>
      </c>
      <c r="L255">
        <v>470.26</v>
      </c>
      <c r="M255">
        <v>351.28</v>
      </c>
      <c r="N255">
        <v>436.02</v>
      </c>
      <c r="O255" s="3">
        <f>_xlfn.XLOOKUP(SalesData[[#This Row],[Product]],ProductLookup[Product],ProductLookup[Standard_Price],"Not Found")</f>
        <v>35</v>
      </c>
      <c r="P255" s="3">
        <f>SalesData[[#This Row],[Revenue]]-SalesData[[#This Row],[Cost]]</f>
        <v>118.98000000000002</v>
      </c>
      <c r="Q255" s="5">
        <f>IFERROR(SalesData[[#This Row],[Profit]]/SalesData[[#This Row],[Revenue]],0)</f>
        <v>0.25300897375919706</v>
      </c>
      <c r="R255" s="3">
        <f>SalesData[[#This Row],[Revenue]]-SalesData[[#This Row],[Target]]</f>
        <v>34.240000000000009</v>
      </c>
      <c r="S255" s="3" t="str">
        <f t="shared" si="3"/>
        <v>Above Target</v>
      </c>
    </row>
    <row r="256" spans="1:19" ht="13.8">
      <c r="A256" t="s">
        <v>423</v>
      </c>
      <c r="B256" s="21">
        <v>45989</v>
      </c>
      <c r="C256" t="s">
        <v>29</v>
      </c>
      <c r="D256" t="s">
        <v>23</v>
      </c>
      <c r="E256" t="s">
        <v>246</v>
      </c>
      <c r="F256" t="s">
        <v>18</v>
      </c>
      <c r="G256" t="s">
        <v>33</v>
      </c>
      <c r="H256" t="s">
        <v>42</v>
      </c>
      <c r="I256">
        <v>9</v>
      </c>
      <c r="J256">
        <v>62.98</v>
      </c>
      <c r="K256">
        <v>0.08</v>
      </c>
      <c r="L256">
        <v>521.47</v>
      </c>
      <c r="M256">
        <v>335.66</v>
      </c>
      <c r="N256">
        <v>534.20000000000005</v>
      </c>
      <c r="O256" s="3">
        <f>_xlfn.XLOOKUP(SalesData[[#This Row],[Product]],ProductLookup[Product],ProductLookup[Standard_Price],"Not Found")</f>
        <v>60</v>
      </c>
      <c r="P256" s="3">
        <f>SalesData[[#This Row],[Revenue]]-SalesData[[#This Row],[Cost]]</f>
        <v>185.81</v>
      </c>
      <c r="Q256" s="5">
        <f>IFERROR(SalesData[[#This Row],[Profit]]/SalesData[[#This Row],[Revenue]],0)</f>
        <v>0.35631963487832474</v>
      </c>
      <c r="R256" s="3">
        <f>SalesData[[#This Row],[Revenue]]-SalesData[[#This Row],[Target]]</f>
        <v>-12.730000000000018</v>
      </c>
      <c r="S256" s="3" t="str">
        <f t="shared" si="3"/>
        <v>Below Target</v>
      </c>
    </row>
    <row r="257" spans="1:19" ht="27.6">
      <c r="A257" t="s">
        <v>424</v>
      </c>
      <c r="B257" s="21">
        <v>45672</v>
      </c>
      <c r="C257" t="s">
        <v>22</v>
      </c>
      <c r="D257" t="s">
        <v>16</v>
      </c>
      <c r="E257" t="s">
        <v>166</v>
      </c>
      <c r="F257" t="s">
        <v>18</v>
      </c>
      <c r="G257" t="s">
        <v>19</v>
      </c>
      <c r="H257" t="s">
        <v>37</v>
      </c>
      <c r="I257">
        <v>2</v>
      </c>
      <c r="J257">
        <v>1063.76</v>
      </c>
      <c r="K257">
        <v>0.08</v>
      </c>
      <c r="L257">
        <v>1957.32</v>
      </c>
      <c r="M257">
        <v>1385.57</v>
      </c>
      <c r="N257">
        <v>1942.06</v>
      </c>
      <c r="O257" s="3">
        <f>_xlfn.XLOOKUP(SalesData[[#This Row],[Product]],ProductLookup[Product],ProductLookup[Standard_Price],"Not Found")</f>
        <v>1100</v>
      </c>
      <c r="P257" s="3">
        <f>SalesData[[#This Row],[Revenue]]-SalesData[[#This Row],[Cost]]</f>
        <v>571.75</v>
      </c>
      <c r="Q257" s="5">
        <f>IFERROR(SalesData[[#This Row],[Profit]]/SalesData[[#This Row],[Revenue]],0)</f>
        <v>0.29210859747001</v>
      </c>
      <c r="R257" s="3">
        <f>SalesData[[#This Row],[Revenue]]-SalesData[[#This Row],[Target]]</f>
        <v>15.259999999999991</v>
      </c>
      <c r="S257" s="3" t="str">
        <f t="shared" si="3"/>
        <v>Above Target</v>
      </c>
    </row>
    <row r="258" spans="1:19" ht="27.6">
      <c r="A258" t="s">
        <v>425</v>
      </c>
      <c r="B258" s="21">
        <v>46008</v>
      </c>
      <c r="C258" t="s">
        <v>15</v>
      </c>
      <c r="D258" t="s">
        <v>30</v>
      </c>
      <c r="E258" t="s">
        <v>66</v>
      </c>
      <c r="F258" t="s">
        <v>18</v>
      </c>
      <c r="G258" t="s">
        <v>45</v>
      </c>
      <c r="H258" t="s">
        <v>47</v>
      </c>
      <c r="I258">
        <v>10</v>
      </c>
      <c r="J258">
        <v>412.56</v>
      </c>
      <c r="K258">
        <v>0.1</v>
      </c>
      <c r="L258">
        <v>3713.04</v>
      </c>
      <c r="M258">
        <v>2422.4499999999998</v>
      </c>
      <c r="N258">
        <v>3512.93</v>
      </c>
      <c r="O258" s="3">
        <f>_xlfn.XLOOKUP(SalesData[[#This Row],[Product]],ProductLookup[Product],ProductLookup[Standard_Price],"Not Found")</f>
        <v>420</v>
      </c>
      <c r="P258" s="3">
        <f>SalesData[[#This Row],[Revenue]]-SalesData[[#This Row],[Cost]]</f>
        <v>1290.5900000000001</v>
      </c>
      <c r="Q258" s="5">
        <f>IFERROR(SalesData[[#This Row],[Profit]]/SalesData[[#This Row],[Revenue]],0)</f>
        <v>0.34758311249003515</v>
      </c>
      <c r="R258" s="3">
        <f>SalesData[[#This Row],[Revenue]]-SalesData[[#This Row],[Target]]</f>
        <v>200.11000000000013</v>
      </c>
      <c r="S258" s="3" t="str">
        <f t="shared" ref="S258:S321" si="4">IF(R258&gt;=0,"Above Target","Below Target")</f>
        <v>Above Target</v>
      </c>
    </row>
    <row r="259" spans="1:19" ht="27.6">
      <c r="A259" t="s">
        <v>426</v>
      </c>
      <c r="B259" s="21">
        <v>45956</v>
      </c>
      <c r="C259" t="s">
        <v>22</v>
      </c>
      <c r="D259" t="s">
        <v>64</v>
      </c>
      <c r="E259" t="s">
        <v>289</v>
      </c>
      <c r="F259" t="s">
        <v>18</v>
      </c>
      <c r="G259" t="s">
        <v>19</v>
      </c>
      <c r="H259" t="s">
        <v>37</v>
      </c>
      <c r="I259">
        <v>6</v>
      </c>
      <c r="J259">
        <v>1066.08</v>
      </c>
      <c r="K259">
        <v>0.08</v>
      </c>
      <c r="L259">
        <v>5884.76</v>
      </c>
      <c r="M259">
        <v>4030.15</v>
      </c>
      <c r="N259">
        <v>5255.81</v>
      </c>
      <c r="O259" s="3">
        <f>_xlfn.XLOOKUP(SalesData[[#This Row],[Product]],ProductLookup[Product],ProductLookup[Standard_Price],"Not Found")</f>
        <v>1100</v>
      </c>
      <c r="P259" s="3">
        <f>SalesData[[#This Row],[Revenue]]-SalesData[[#This Row],[Cost]]</f>
        <v>1854.6100000000001</v>
      </c>
      <c r="Q259" s="5">
        <f>IFERROR(SalesData[[#This Row],[Profit]]/SalesData[[#This Row],[Revenue]],0)</f>
        <v>0.31515473868093175</v>
      </c>
      <c r="R259" s="3">
        <f>SalesData[[#This Row],[Revenue]]-SalesData[[#This Row],[Target]]</f>
        <v>628.94999999999982</v>
      </c>
      <c r="S259" s="3" t="str">
        <f t="shared" si="4"/>
        <v>Above Target</v>
      </c>
    </row>
    <row r="260" spans="1:19" ht="13.8">
      <c r="A260" t="s">
        <v>427</v>
      </c>
      <c r="B260" s="21">
        <v>45883</v>
      </c>
      <c r="C260" t="s">
        <v>29</v>
      </c>
      <c r="D260" t="s">
        <v>30</v>
      </c>
      <c r="E260" t="s">
        <v>17</v>
      </c>
      <c r="F260" t="s">
        <v>74</v>
      </c>
      <c r="G260" t="s">
        <v>19</v>
      </c>
      <c r="H260" t="s">
        <v>20</v>
      </c>
      <c r="I260">
        <v>10</v>
      </c>
      <c r="J260">
        <v>827.75</v>
      </c>
      <c r="K260">
        <v>0.02</v>
      </c>
      <c r="L260">
        <v>8111.95</v>
      </c>
      <c r="M260">
        <v>4945.66</v>
      </c>
      <c r="N260">
        <v>8950.7099999999991</v>
      </c>
      <c r="O260" s="3">
        <f>_xlfn.XLOOKUP(SalesData[[#This Row],[Product]],ProductLookup[Product],ProductLookup[Standard_Price],"Not Found")</f>
        <v>850</v>
      </c>
      <c r="P260" s="3">
        <f>SalesData[[#This Row],[Revenue]]-SalesData[[#This Row],[Cost]]</f>
        <v>3166.29</v>
      </c>
      <c r="Q260" s="5">
        <f>IFERROR(SalesData[[#This Row],[Profit]]/SalesData[[#This Row],[Revenue]],0)</f>
        <v>0.39032415140625865</v>
      </c>
      <c r="R260" s="3">
        <f>SalesData[[#This Row],[Revenue]]-SalesData[[#This Row],[Target]]</f>
        <v>-838.75999999999931</v>
      </c>
      <c r="S260" s="3" t="str">
        <f t="shared" si="4"/>
        <v>Below Target</v>
      </c>
    </row>
    <row r="261" spans="1:19" ht="27.6">
      <c r="A261" t="s">
        <v>428</v>
      </c>
      <c r="B261" s="21">
        <v>45813</v>
      </c>
      <c r="C261" t="s">
        <v>22</v>
      </c>
      <c r="D261" t="s">
        <v>82</v>
      </c>
      <c r="E261" t="s">
        <v>312</v>
      </c>
      <c r="F261" t="s">
        <v>25</v>
      </c>
      <c r="G261" t="s">
        <v>33</v>
      </c>
      <c r="H261" t="s">
        <v>34</v>
      </c>
      <c r="I261">
        <v>10</v>
      </c>
      <c r="J261">
        <v>34.130000000000003</v>
      </c>
      <c r="K261">
        <v>0.05</v>
      </c>
      <c r="L261">
        <v>324.24</v>
      </c>
      <c r="M261">
        <v>264.42</v>
      </c>
      <c r="N261">
        <v>290.58999999999997</v>
      </c>
      <c r="O261" s="3">
        <f>_xlfn.XLOOKUP(SalesData[[#This Row],[Product]],ProductLookup[Product],ProductLookup[Standard_Price],"Not Found")</f>
        <v>35</v>
      </c>
      <c r="P261" s="3">
        <f>SalesData[[#This Row],[Revenue]]-SalesData[[#This Row],[Cost]]</f>
        <v>59.819999999999993</v>
      </c>
      <c r="Q261" s="5">
        <f>IFERROR(SalesData[[#This Row],[Profit]]/SalesData[[#This Row],[Revenue]],0)</f>
        <v>0.18449296817172461</v>
      </c>
      <c r="R261" s="3">
        <f>SalesData[[#This Row],[Revenue]]-SalesData[[#This Row],[Target]]</f>
        <v>33.650000000000034</v>
      </c>
      <c r="S261" s="3" t="str">
        <f t="shared" si="4"/>
        <v>Above Target</v>
      </c>
    </row>
    <row r="262" spans="1:19" ht="13.8">
      <c r="A262" t="s">
        <v>429</v>
      </c>
      <c r="B262" s="21">
        <v>45869</v>
      </c>
      <c r="C262" t="s">
        <v>15</v>
      </c>
      <c r="D262" t="s">
        <v>23</v>
      </c>
      <c r="E262" t="s">
        <v>430</v>
      </c>
      <c r="F262" t="s">
        <v>32</v>
      </c>
      <c r="G262" t="s">
        <v>26</v>
      </c>
      <c r="H262" t="s">
        <v>27</v>
      </c>
      <c r="I262">
        <v>7</v>
      </c>
      <c r="J262">
        <v>332.01</v>
      </c>
      <c r="K262">
        <v>0.05</v>
      </c>
      <c r="L262">
        <v>2207.87</v>
      </c>
      <c r="M262">
        <v>1335.62</v>
      </c>
      <c r="N262">
        <v>2402.98</v>
      </c>
      <c r="O262" s="3">
        <f>_xlfn.XLOOKUP(SalesData[[#This Row],[Product]],ProductLookup[Product],ProductLookup[Standard_Price],"Not Found")</f>
        <v>320</v>
      </c>
      <c r="P262" s="3">
        <f>SalesData[[#This Row],[Revenue]]-SalesData[[#This Row],[Cost]]</f>
        <v>872.25</v>
      </c>
      <c r="Q262" s="5">
        <f>IFERROR(SalesData[[#This Row],[Profit]]/SalesData[[#This Row],[Revenue]],0)</f>
        <v>0.39506402097949611</v>
      </c>
      <c r="R262" s="3">
        <f>SalesData[[#This Row],[Revenue]]-SalesData[[#This Row],[Target]]</f>
        <v>-195.11000000000013</v>
      </c>
      <c r="S262" s="3" t="str">
        <f t="shared" si="4"/>
        <v>Below Target</v>
      </c>
    </row>
    <row r="263" spans="1:19" ht="27.6">
      <c r="A263" t="s">
        <v>431</v>
      </c>
      <c r="B263" s="21">
        <v>45852</v>
      </c>
      <c r="C263" t="s">
        <v>67</v>
      </c>
      <c r="D263" t="s">
        <v>64</v>
      </c>
      <c r="E263" t="s">
        <v>186</v>
      </c>
      <c r="F263" t="s">
        <v>74</v>
      </c>
      <c r="G263" t="s">
        <v>19</v>
      </c>
      <c r="H263" t="s">
        <v>38</v>
      </c>
      <c r="I263">
        <v>1</v>
      </c>
      <c r="J263">
        <v>994.8</v>
      </c>
      <c r="K263">
        <v>0.03</v>
      </c>
      <c r="L263">
        <v>964.96</v>
      </c>
      <c r="M263">
        <v>663.05</v>
      </c>
      <c r="N263">
        <v>933.22</v>
      </c>
      <c r="O263" s="3">
        <f>_xlfn.XLOOKUP(SalesData[[#This Row],[Product]],ProductLookup[Product],ProductLookup[Standard_Price],"Not Found")</f>
        <v>950</v>
      </c>
      <c r="P263" s="3">
        <f>SalesData[[#This Row],[Revenue]]-SalesData[[#This Row],[Cost]]</f>
        <v>301.91000000000008</v>
      </c>
      <c r="Q263" s="5">
        <f>IFERROR(SalesData[[#This Row],[Profit]]/SalesData[[#This Row],[Revenue]],0)</f>
        <v>0.31287307245896212</v>
      </c>
      <c r="R263" s="3">
        <f>SalesData[[#This Row],[Revenue]]-SalesData[[#This Row],[Target]]</f>
        <v>31.740000000000009</v>
      </c>
      <c r="S263" s="3" t="str">
        <f t="shared" si="4"/>
        <v>Above Target</v>
      </c>
    </row>
    <row r="264" spans="1:19" ht="13.8">
      <c r="A264" t="s">
        <v>432</v>
      </c>
      <c r="B264" s="21">
        <v>45829</v>
      </c>
      <c r="C264" t="s">
        <v>29</v>
      </c>
      <c r="D264" t="s">
        <v>68</v>
      </c>
      <c r="E264" t="s">
        <v>211</v>
      </c>
      <c r="F264" t="s">
        <v>74</v>
      </c>
      <c r="G264" t="s">
        <v>33</v>
      </c>
      <c r="H264" t="s">
        <v>34</v>
      </c>
      <c r="I264">
        <v>11</v>
      </c>
      <c r="J264">
        <v>33.479999999999997</v>
      </c>
      <c r="K264">
        <v>0</v>
      </c>
      <c r="L264">
        <v>368.28</v>
      </c>
      <c r="M264">
        <v>255.18</v>
      </c>
      <c r="N264">
        <v>404.78</v>
      </c>
      <c r="O264" s="3">
        <f>_xlfn.XLOOKUP(SalesData[[#This Row],[Product]],ProductLookup[Product],ProductLookup[Standard_Price],"Not Found")</f>
        <v>35</v>
      </c>
      <c r="P264" s="3">
        <f>SalesData[[#This Row],[Revenue]]-SalesData[[#This Row],[Cost]]</f>
        <v>113.09999999999997</v>
      </c>
      <c r="Q264" s="5">
        <f>IFERROR(SalesData[[#This Row],[Profit]]/SalesData[[#This Row],[Revenue]],0)</f>
        <v>0.30710329097425865</v>
      </c>
      <c r="R264" s="3">
        <f>SalesData[[#This Row],[Revenue]]-SalesData[[#This Row],[Target]]</f>
        <v>-36.5</v>
      </c>
      <c r="S264" s="3" t="str">
        <f t="shared" si="4"/>
        <v>Below Target</v>
      </c>
    </row>
    <row r="265" spans="1:19" ht="27.6">
      <c r="A265" t="s">
        <v>433</v>
      </c>
      <c r="B265" s="21">
        <v>45803</v>
      </c>
      <c r="C265" t="s">
        <v>29</v>
      </c>
      <c r="D265" t="s">
        <v>23</v>
      </c>
      <c r="E265" t="s">
        <v>322</v>
      </c>
      <c r="F265" t="s">
        <v>25</v>
      </c>
      <c r="G265" t="s">
        <v>26</v>
      </c>
      <c r="H265" t="s">
        <v>40</v>
      </c>
      <c r="I265">
        <v>4</v>
      </c>
      <c r="J265">
        <v>447.1</v>
      </c>
      <c r="K265">
        <v>0.03</v>
      </c>
      <c r="L265">
        <v>1734.75</v>
      </c>
      <c r="M265">
        <v>1294.3699999999999</v>
      </c>
      <c r="N265">
        <v>1668.73</v>
      </c>
      <c r="O265" s="3">
        <f>_xlfn.XLOOKUP(SalesData[[#This Row],[Product]],ProductLookup[Product],ProductLookup[Standard_Price],"Not Found")</f>
        <v>450</v>
      </c>
      <c r="P265" s="3">
        <f>SalesData[[#This Row],[Revenue]]-SalesData[[#This Row],[Cost]]</f>
        <v>440.38000000000011</v>
      </c>
      <c r="Q265" s="5">
        <f>IFERROR(SalesData[[#This Row],[Profit]]/SalesData[[#This Row],[Revenue]],0)</f>
        <v>0.25385790459720425</v>
      </c>
      <c r="R265" s="3">
        <f>SalesData[[#This Row],[Revenue]]-SalesData[[#This Row],[Target]]</f>
        <v>66.019999999999982</v>
      </c>
      <c r="S265" s="3" t="str">
        <f t="shared" si="4"/>
        <v>Above Target</v>
      </c>
    </row>
    <row r="266" spans="1:19" ht="27.6">
      <c r="A266" t="s">
        <v>434</v>
      </c>
      <c r="B266" s="21">
        <v>45705</v>
      </c>
      <c r="C266" t="s">
        <v>29</v>
      </c>
      <c r="D266" t="s">
        <v>23</v>
      </c>
      <c r="E266" t="s">
        <v>235</v>
      </c>
      <c r="F266" t="s">
        <v>32</v>
      </c>
      <c r="G266" t="s">
        <v>26</v>
      </c>
      <c r="H266" t="s">
        <v>39</v>
      </c>
      <c r="I266">
        <v>5</v>
      </c>
      <c r="J266">
        <v>220.99</v>
      </c>
      <c r="K266">
        <v>0.02</v>
      </c>
      <c r="L266">
        <v>1082.8499999999999</v>
      </c>
      <c r="M266">
        <v>781.92</v>
      </c>
      <c r="N266">
        <v>1074.29</v>
      </c>
      <c r="O266" s="3">
        <f>_xlfn.XLOOKUP(SalesData[[#This Row],[Product]],ProductLookup[Product],ProductLookup[Standard_Price],"Not Found")</f>
        <v>220</v>
      </c>
      <c r="P266" s="3">
        <f>SalesData[[#This Row],[Revenue]]-SalesData[[#This Row],[Cost]]</f>
        <v>300.92999999999995</v>
      </c>
      <c r="Q266" s="5">
        <f>IFERROR(SalesData[[#This Row],[Profit]]/SalesData[[#This Row],[Revenue]],0)</f>
        <v>0.27790552708131316</v>
      </c>
      <c r="R266" s="3">
        <f>SalesData[[#This Row],[Revenue]]-SalesData[[#This Row],[Target]]</f>
        <v>8.5599999999999454</v>
      </c>
      <c r="S266" s="3" t="str">
        <f t="shared" si="4"/>
        <v>Above Target</v>
      </c>
    </row>
    <row r="267" spans="1:19" ht="13.8">
      <c r="A267" t="s">
        <v>435</v>
      </c>
      <c r="B267" s="21">
        <v>45768</v>
      </c>
      <c r="C267" t="s">
        <v>29</v>
      </c>
      <c r="D267" t="s">
        <v>23</v>
      </c>
      <c r="E267" t="s">
        <v>307</v>
      </c>
      <c r="F267" t="s">
        <v>74</v>
      </c>
      <c r="G267" t="s">
        <v>45</v>
      </c>
      <c r="H267" t="s">
        <v>46</v>
      </c>
      <c r="I267">
        <v>7</v>
      </c>
      <c r="J267">
        <v>335.81</v>
      </c>
      <c r="K267">
        <v>0.08</v>
      </c>
      <c r="L267">
        <v>2162.62</v>
      </c>
      <c r="M267">
        <v>1396.56</v>
      </c>
      <c r="N267">
        <v>2396.67</v>
      </c>
      <c r="O267" s="3">
        <f>_xlfn.XLOOKUP(SalesData[[#This Row],[Product]],ProductLookup[Product],ProductLookup[Standard_Price],"Not Found")</f>
        <v>340</v>
      </c>
      <c r="P267" s="3">
        <f>SalesData[[#This Row],[Revenue]]-SalesData[[#This Row],[Cost]]</f>
        <v>766.06</v>
      </c>
      <c r="Q267" s="5">
        <f>IFERROR(SalesData[[#This Row],[Profit]]/SalesData[[#This Row],[Revenue]],0)</f>
        <v>0.35422774227557313</v>
      </c>
      <c r="R267" s="3">
        <f>SalesData[[#This Row],[Revenue]]-SalesData[[#This Row],[Target]]</f>
        <v>-234.05000000000018</v>
      </c>
      <c r="S267" s="3" t="str">
        <f t="shared" si="4"/>
        <v>Below Target</v>
      </c>
    </row>
    <row r="268" spans="1:19" ht="13.8">
      <c r="A268" t="s">
        <v>436</v>
      </c>
      <c r="B268" s="21">
        <v>46003</v>
      </c>
      <c r="C268" t="s">
        <v>67</v>
      </c>
      <c r="D268" t="s">
        <v>64</v>
      </c>
      <c r="E268" t="s">
        <v>254</v>
      </c>
      <c r="F268" t="s">
        <v>74</v>
      </c>
      <c r="G268" t="s">
        <v>19</v>
      </c>
      <c r="H268" t="s">
        <v>38</v>
      </c>
      <c r="I268">
        <v>12</v>
      </c>
      <c r="J268">
        <v>997.3</v>
      </c>
      <c r="K268">
        <v>0.08</v>
      </c>
      <c r="L268">
        <v>11010.19</v>
      </c>
      <c r="M268">
        <v>8785.2000000000007</v>
      </c>
      <c r="N268">
        <v>11241.57</v>
      </c>
      <c r="O268" s="3">
        <f>_xlfn.XLOOKUP(SalesData[[#This Row],[Product]],ProductLookup[Product],ProductLookup[Standard_Price],"Not Found")</f>
        <v>950</v>
      </c>
      <c r="P268" s="3">
        <f>SalesData[[#This Row],[Revenue]]-SalesData[[#This Row],[Cost]]</f>
        <v>2224.9899999999998</v>
      </c>
      <c r="Q268" s="5">
        <f>IFERROR(SalesData[[#This Row],[Profit]]/SalesData[[#This Row],[Revenue]],0)</f>
        <v>0.20208461434362165</v>
      </c>
      <c r="R268" s="3">
        <f>SalesData[[#This Row],[Revenue]]-SalesData[[#This Row],[Target]]</f>
        <v>-231.3799999999992</v>
      </c>
      <c r="S268" s="3" t="str">
        <f t="shared" si="4"/>
        <v>Below Target</v>
      </c>
    </row>
    <row r="269" spans="1:19" ht="27.6">
      <c r="A269" t="s">
        <v>437</v>
      </c>
      <c r="B269" s="21">
        <v>45969</v>
      </c>
      <c r="C269" t="s">
        <v>67</v>
      </c>
      <c r="D269" t="s">
        <v>82</v>
      </c>
      <c r="E269" t="s">
        <v>342</v>
      </c>
      <c r="F269" t="s">
        <v>74</v>
      </c>
      <c r="G269" t="s">
        <v>33</v>
      </c>
      <c r="H269" t="s">
        <v>42</v>
      </c>
      <c r="I269">
        <v>4</v>
      </c>
      <c r="J269">
        <v>57.75</v>
      </c>
      <c r="K269">
        <v>0</v>
      </c>
      <c r="L269">
        <v>231</v>
      </c>
      <c r="M269">
        <v>173.05</v>
      </c>
      <c r="N269">
        <v>208.35</v>
      </c>
      <c r="O269" s="3">
        <f>_xlfn.XLOOKUP(SalesData[[#This Row],[Product]],ProductLookup[Product],ProductLookup[Standard_Price],"Not Found")</f>
        <v>60</v>
      </c>
      <c r="P269" s="3">
        <f>SalesData[[#This Row],[Revenue]]-SalesData[[#This Row],[Cost]]</f>
        <v>57.949999999999989</v>
      </c>
      <c r="Q269" s="5">
        <f>IFERROR(SalesData[[#This Row],[Profit]]/SalesData[[#This Row],[Revenue]],0)</f>
        <v>0.25086580086580079</v>
      </c>
      <c r="R269" s="3">
        <f>SalesData[[#This Row],[Revenue]]-SalesData[[#This Row],[Target]]</f>
        <v>22.650000000000006</v>
      </c>
      <c r="S269" s="3" t="str">
        <f t="shared" si="4"/>
        <v>Above Target</v>
      </c>
    </row>
    <row r="270" spans="1:19" ht="13.8">
      <c r="A270" t="s">
        <v>438</v>
      </c>
      <c r="B270" s="21">
        <v>45672</v>
      </c>
      <c r="C270" t="s">
        <v>29</v>
      </c>
      <c r="D270" t="s">
        <v>23</v>
      </c>
      <c r="E270" t="s">
        <v>120</v>
      </c>
      <c r="F270" t="s">
        <v>25</v>
      </c>
      <c r="G270" t="s">
        <v>45</v>
      </c>
      <c r="H270" t="s">
        <v>44</v>
      </c>
      <c r="I270">
        <v>12</v>
      </c>
      <c r="J270">
        <v>261.76</v>
      </c>
      <c r="K270">
        <v>0.03</v>
      </c>
      <c r="L270">
        <v>3046.89</v>
      </c>
      <c r="M270">
        <v>1838.19</v>
      </c>
      <c r="N270">
        <v>3200.97</v>
      </c>
      <c r="O270" s="3">
        <f>_xlfn.XLOOKUP(SalesData[[#This Row],[Product]],ProductLookup[Product],ProductLookup[Standard_Price],"Not Found")</f>
        <v>260</v>
      </c>
      <c r="P270" s="3">
        <f>SalesData[[#This Row],[Revenue]]-SalesData[[#This Row],[Cost]]</f>
        <v>1208.6999999999998</v>
      </c>
      <c r="Q270" s="5">
        <f>IFERROR(SalesData[[#This Row],[Profit]]/SalesData[[#This Row],[Revenue]],0)</f>
        <v>0.39669958547896378</v>
      </c>
      <c r="R270" s="3">
        <f>SalesData[[#This Row],[Revenue]]-SalesData[[#This Row],[Target]]</f>
        <v>-154.07999999999993</v>
      </c>
      <c r="S270" s="3" t="str">
        <f t="shared" si="4"/>
        <v>Below Target</v>
      </c>
    </row>
    <row r="271" spans="1:19" ht="13.8">
      <c r="A271" t="s">
        <v>439</v>
      </c>
      <c r="B271" s="21">
        <v>45997</v>
      </c>
      <c r="C271" t="s">
        <v>29</v>
      </c>
      <c r="D271" t="s">
        <v>16</v>
      </c>
      <c r="E271" t="s">
        <v>312</v>
      </c>
      <c r="F271" t="s">
        <v>32</v>
      </c>
      <c r="G271" t="s">
        <v>19</v>
      </c>
      <c r="H271" t="s">
        <v>37</v>
      </c>
      <c r="I271">
        <v>2</v>
      </c>
      <c r="J271">
        <v>1106.82</v>
      </c>
      <c r="K271">
        <v>0.03</v>
      </c>
      <c r="L271">
        <v>2147.23</v>
      </c>
      <c r="M271">
        <v>1668.7</v>
      </c>
      <c r="N271">
        <v>2280.42</v>
      </c>
      <c r="O271" s="3">
        <f>_xlfn.XLOOKUP(SalesData[[#This Row],[Product]],ProductLookup[Product],ProductLookup[Standard_Price],"Not Found")</f>
        <v>1100</v>
      </c>
      <c r="P271" s="3">
        <f>SalesData[[#This Row],[Revenue]]-SalesData[[#This Row],[Cost]]</f>
        <v>478.53</v>
      </c>
      <c r="Q271" s="5">
        <f>IFERROR(SalesData[[#This Row],[Profit]]/SalesData[[#This Row],[Revenue]],0)</f>
        <v>0.22285921862120031</v>
      </c>
      <c r="R271" s="3">
        <f>SalesData[[#This Row],[Revenue]]-SalesData[[#This Row],[Target]]</f>
        <v>-133.19000000000005</v>
      </c>
      <c r="S271" s="3" t="str">
        <f t="shared" si="4"/>
        <v>Below Target</v>
      </c>
    </row>
    <row r="272" spans="1:19" ht="27.6">
      <c r="A272" t="s">
        <v>440</v>
      </c>
      <c r="B272" s="21">
        <v>45703</v>
      </c>
      <c r="C272" t="s">
        <v>22</v>
      </c>
      <c r="D272" t="s">
        <v>82</v>
      </c>
      <c r="E272" t="s">
        <v>283</v>
      </c>
      <c r="F272" t="s">
        <v>25</v>
      </c>
      <c r="G272" t="s">
        <v>26</v>
      </c>
      <c r="H272" t="s">
        <v>39</v>
      </c>
      <c r="I272">
        <v>5</v>
      </c>
      <c r="J272">
        <v>211.77</v>
      </c>
      <c r="K272">
        <v>0.1</v>
      </c>
      <c r="L272">
        <v>952.97</v>
      </c>
      <c r="M272">
        <v>655.43</v>
      </c>
      <c r="N272">
        <v>920.01</v>
      </c>
      <c r="O272" s="3">
        <f>_xlfn.XLOOKUP(SalesData[[#This Row],[Product]],ProductLookup[Product],ProductLookup[Standard_Price],"Not Found")</f>
        <v>220</v>
      </c>
      <c r="P272" s="3">
        <f>SalesData[[#This Row],[Revenue]]-SalesData[[#This Row],[Cost]]</f>
        <v>297.54000000000008</v>
      </c>
      <c r="Q272" s="5">
        <f>IFERROR(SalesData[[#This Row],[Profit]]/SalesData[[#This Row],[Revenue]],0)</f>
        <v>0.31222388952432928</v>
      </c>
      <c r="R272" s="3">
        <f>SalesData[[#This Row],[Revenue]]-SalesData[[#This Row],[Target]]</f>
        <v>32.960000000000036</v>
      </c>
      <c r="S272" s="3" t="str">
        <f t="shared" si="4"/>
        <v>Above Target</v>
      </c>
    </row>
    <row r="273" spans="1:19" ht="13.8">
      <c r="A273" t="s">
        <v>441</v>
      </c>
      <c r="B273" s="21">
        <v>45799</v>
      </c>
      <c r="C273" t="s">
        <v>15</v>
      </c>
      <c r="D273" t="s">
        <v>82</v>
      </c>
      <c r="E273" t="s">
        <v>322</v>
      </c>
      <c r="F273" t="s">
        <v>74</v>
      </c>
      <c r="G273" t="s">
        <v>19</v>
      </c>
      <c r="H273" t="s">
        <v>38</v>
      </c>
      <c r="I273">
        <v>1</v>
      </c>
      <c r="J273">
        <v>937.33</v>
      </c>
      <c r="K273">
        <v>0.1</v>
      </c>
      <c r="L273">
        <v>843.6</v>
      </c>
      <c r="M273">
        <v>634.4</v>
      </c>
      <c r="N273">
        <v>923.97</v>
      </c>
      <c r="O273" s="3">
        <f>_xlfn.XLOOKUP(SalesData[[#This Row],[Product]],ProductLookup[Product],ProductLookup[Standard_Price],"Not Found")</f>
        <v>950</v>
      </c>
      <c r="P273" s="3">
        <f>SalesData[[#This Row],[Revenue]]-SalesData[[#This Row],[Cost]]</f>
        <v>209.20000000000005</v>
      </c>
      <c r="Q273" s="5">
        <f>IFERROR(SalesData[[#This Row],[Profit]]/SalesData[[#This Row],[Revenue]],0)</f>
        <v>0.2479848269321954</v>
      </c>
      <c r="R273" s="3">
        <f>SalesData[[#This Row],[Revenue]]-SalesData[[#This Row],[Target]]</f>
        <v>-80.37</v>
      </c>
      <c r="S273" s="3" t="str">
        <f t="shared" si="4"/>
        <v>Below Target</v>
      </c>
    </row>
    <row r="274" spans="1:19" ht="27.6">
      <c r="A274" t="s">
        <v>442</v>
      </c>
      <c r="B274" s="21">
        <v>45785</v>
      </c>
      <c r="C274" t="s">
        <v>29</v>
      </c>
      <c r="D274" t="s">
        <v>82</v>
      </c>
      <c r="E274" t="s">
        <v>443</v>
      </c>
      <c r="F274" t="s">
        <v>18</v>
      </c>
      <c r="G274" t="s">
        <v>33</v>
      </c>
      <c r="H274" t="s">
        <v>34</v>
      </c>
      <c r="I274">
        <v>6</v>
      </c>
      <c r="J274">
        <v>36.42</v>
      </c>
      <c r="K274">
        <v>0</v>
      </c>
      <c r="L274">
        <v>218.52</v>
      </c>
      <c r="M274">
        <v>139.85</v>
      </c>
      <c r="N274">
        <v>198.34</v>
      </c>
      <c r="O274" s="3">
        <f>_xlfn.XLOOKUP(SalesData[[#This Row],[Product]],ProductLookup[Product],ProductLookup[Standard_Price],"Not Found")</f>
        <v>35</v>
      </c>
      <c r="P274" s="3">
        <f>SalesData[[#This Row],[Revenue]]-SalesData[[#This Row],[Cost]]</f>
        <v>78.670000000000016</v>
      </c>
      <c r="Q274" s="5">
        <f>IFERROR(SalesData[[#This Row],[Profit]]/SalesData[[#This Row],[Revenue]],0)</f>
        <v>0.36001281347245107</v>
      </c>
      <c r="R274" s="3">
        <f>SalesData[[#This Row],[Revenue]]-SalesData[[#This Row],[Target]]</f>
        <v>20.180000000000007</v>
      </c>
      <c r="S274" s="3" t="str">
        <f t="shared" si="4"/>
        <v>Above Target</v>
      </c>
    </row>
    <row r="275" spans="1:19" ht="27.6">
      <c r="A275" t="s">
        <v>444</v>
      </c>
      <c r="B275" s="21">
        <v>45865</v>
      </c>
      <c r="C275" t="s">
        <v>15</v>
      </c>
      <c r="D275" t="s">
        <v>64</v>
      </c>
      <c r="E275" t="s">
        <v>148</v>
      </c>
      <c r="F275" t="s">
        <v>25</v>
      </c>
      <c r="G275" t="s">
        <v>19</v>
      </c>
      <c r="H275" t="s">
        <v>20</v>
      </c>
      <c r="I275">
        <v>10</v>
      </c>
      <c r="J275">
        <v>821.27</v>
      </c>
      <c r="K275">
        <v>0.02</v>
      </c>
      <c r="L275">
        <v>8048.45</v>
      </c>
      <c r="M275">
        <v>6169.39</v>
      </c>
      <c r="N275">
        <v>7384.34</v>
      </c>
      <c r="O275" s="3">
        <f>_xlfn.XLOOKUP(SalesData[[#This Row],[Product]],ProductLookup[Product],ProductLookup[Standard_Price],"Not Found")</f>
        <v>850</v>
      </c>
      <c r="P275" s="3">
        <f>SalesData[[#This Row],[Revenue]]-SalesData[[#This Row],[Cost]]</f>
        <v>1879.0599999999995</v>
      </c>
      <c r="Q275" s="5">
        <f>IFERROR(SalesData[[#This Row],[Profit]]/SalesData[[#This Row],[Revenue]],0)</f>
        <v>0.23346855605737746</v>
      </c>
      <c r="R275" s="3">
        <f>SalesData[[#This Row],[Revenue]]-SalesData[[#This Row],[Target]]</f>
        <v>664.10999999999967</v>
      </c>
      <c r="S275" s="3" t="str">
        <f t="shared" si="4"/>
        <v>Above Target</v>
      </c>
    </row>
    <row r="276" spans="1:19" ht="27.6">
      <c r="A276" t="s">
        <v>445</v>
      </c>
      <c r="B276" s="21">
        <v>45947</v>
      </c>
      <c r="C276" t="s">
        <v>67</v>
      </c>
      <c r="D276" t="s">
        <v>16</v>
      </c>
      <c r="E276" t="s">
        <v>100</v>
      </c>
      <c r="F276" t="s">
        <v>32</v>
      </c>
      <c r="G276" t="s">
        <v>26</v>
      </c>
      <c r="H276" t="s">
        <v>39</v>
      </c>
      <c r="I276">
        <v>10</v>
      </c>
      <c r="J276">
        <v>219.95</v>
      </c>
      <c r="K276">
        <v>0.08</v>
      </c>
      <c r="L276">
        <v>2023.54</v>
      </c>
      <c r="M276">
        <v>1327.52</v>
      </c>
      <c r="N276">
        <v>1991.94</v>
      </c>
      <c r="O276" s="3">
        <f>_xlfn.XLOOKUP(SalesData[[#This Row],[Product]],ProductLookup[Product],ProductLookup[Standard_Price],"Not Found")</f>
        <v>220</v>
      </c>
      <c r="P276" s="3">
        <f>SalesData[[#This Row],[Revenue]]-SalesData[[#This Row],[Cost]]</f>
        <v>696.02</v>
      </c>
      <c r="Q276" s="5">
        <f>IFERROR(SalesData[[#This Row],[Profit]]/SalesData[[#This Row],[Revenue]],0)</f>
        <v>0.34396157229409846</v>
      </c>
      <c r="R276" s="3">
        <f>SalesData[[#This Row],[Revenue]]-SalesData[[#This Row],[Target]]</f>
        <v>31.599999999999909</v>
      </c>
      <c r="S276" s="3" t="str">
        <f t="shared" si="4"/>
        <v>Above Target</v>
      </c>
    </row>
    <row r="277" spans="1:19" ht="27.6">
      <c r="A277" t="s">
        <v>446</v>
      </c>
      <c r="B277" s="21">
        <v>45679</v>
      </c>
      <c r="C277" t="s">
        <v>67</v>
      </c>
      <c r="D277" t="s">
        <v>23</v>
      </c>
      <c r="E277" t="s">
        <v>447</v>
      </c>
      <c r="F277" t="s">
        <v>32</v>
      </c>
      <c r="G277" t="s">
        <v>33</v>
      </c>
      <c r="H277" t="s">
        <v>43</v>
      </c>
      <c r="I277">
        <v>10</v>
      </c>
      <c r="J277">
        <v>76.47</v>
      </c>
      <c r="K277">
        <v>0.02</v>
      </c>
      <c r="L277">
        <v>749.41</v>
      </c>
      <c r="M277">
        <v>561.92999999999995</v>
      </c>
      <c r="N277">
        <v>666.16</v>
      </c>
      <c r="O277" s="3">
        <f>_xlfn.XLOOKUP(SalesData[[#This Row],[Product]],ProductLookup[Product],ProductLookup[Standard_Price],"Not Found")</f>
        <v>75</v>
      </c>
      <c r="P277" s="3">
        <f>SalesData[[#This Row],[Revenue]]-SalesData[[#This Row],[Cost]]</f>
        <v>187.48000000000002</v>
      </c>
      <c r="Q277" s="5">
        <f>IFERROR(SalesData[[#This Row],[Profit]]/SalesData[[#This Row],[Revenue]],0)</f>
        <v>0.25017013383861975</v>
      </c>
      <c r="R277" s="3">
        <f>SalesData[[#This Row],[Revenue]]-SalesData[[#This Row],[Target]]</f>
        <v>83.25</v>
      </c>
      <c r="S277" s="3" t="str">
        <f t="shared" si="4"/>
        <v>Above Target</v>
      </c>
    </row>
    <row r="278" spans="1:19" ht="27.6">
      <c r="A278" t="s">
        <v>448</v>
      </c>
      <c r="B278" s="21">
        <v>45702</v>
      </c>
      <c r="C278" t="s">
        <v>15</v>
      </c>
      <c r="D278" t="s">
        <v>30</v>
      </c>
      <c r="E278" t="s">
        <v>368</v>
      </c>
      <c r="F278" t="s">
        <v>74</v>
      </c>
      <c r="G278" t="s">
        <v>33</v>
      </c>
      <c r="H278" t="s">
        <v>34</v>
      </c>
      <c r="I278">
        <v>12</v>
      </c>
      <c r="J278">
        <v>35.85</v>
      </c>
      <c r="K278">
        <v>0.1</v>
      </c>
      <c r="L278">
        <v>387.18</v>
      </c>
      <c r="M278">
        <v>284.72000000000003</v>
      </c>
      <c r="N278">
        <v>361.24</v>
      </c>
      <c r="O278" s="3">
        <f>_xlfn.XLOOKUP(SalesData[[#This Row],[Product]],ProductLookup[Product],ProductLookup[Standard_Price],"Not Found")</f>
        <v>35</v>
      </c>
      <c r="P278" s="3">
        <f>SalesData[[#This Row],[Revenue]]-SalesData[[#This Row],[Cost]]</f>
        <v>102.45999999999998</v>
      </c>
      <c r="Q278" s="5">
        <f>IFERROR(SalesData[[#This Row],[Profit]]/SalesData[[#This Row],[Revenue]],0)</f>
        <v>0.26463143757425484</v>
      </c>
      <c r="R278" s="3">
        <f>SalesData[[#This Row],[Revenue]]-SalesData[[#This Row],[Target]]</f>
        <v>25.939999999999998</v>
      </c>
      <c r="S278" s="3" t="str">
        <f t="shared" si="4"/>
        <v>Above Target</v>
      </c>
    </row>
    <row r="279" spans="1:19" ht="13.8">
      <c r="A279" t="s">
        <v>449</v>
      </c>
      <c r="B279" s="21">
        <v>45832</v>
      </c>
      <c r="C279" t="s">
        <v>29</v>
      </c>
      <c r="D279" t="s">
        <v>68</v>
      </c>
      <c r="E279" t="s">
        <v>443</v>
      </c>
      <c r="F279" t="s">
        <v>25</v>
      </c>
      <c r="G279" t="s">
        <v>45</v>
      </c>
      <c r="H279" t="s">
        <v>46</v>
      </c>
      <c r="I279">
        <v>9</v>
      </c>
      <c r="J279">
        <v>348.11</v>
      </c>
      <c r="K279">
        <v>0.1</v>
      </c>
      <c r="L279">
        <v>2819.69</v>
      </c>
      <c r="M279">
        <v>2080.11</v>
      </c>
      <c r="N279">
        <v>2825.55</v>
      </c>
      <c r="O279" s="3">
        <f>_xlfn.XLOOKUP(SalesData[[#This Row],[Product]],ProductLookup[Product],ProductLookup[Standard_Price],"Not Found")</f>
        <v>340</v>
      </c>
      <c r="P279" s="3">
        <f>SalesData[[#This Row],[Revenue]]-SalesData[[#This Row],[Cost]]</f>
        <v>739.57999999999993</v>
      </c>
      <c r="Q279" s="5">
        <f>IFERROR(SalesData[[#This Row],[Profit]]/SalesData[[#This Row],[Revenue]],0)</f>
        <v>0.26229124478222782</v>
      </c>
      <c r="R279" s="3">
        <f>SalesData[[#This Row],[Revenue]]-SalesData[[#This Row],[Target]]</f>
        <v>-5.8600000000001273</v>
      </c>
      <c r="S279" s="3" t="str">
        <f t="shared" si="4"/>
        <v>Below Target</v>
      </c>
    </row>
    <row r="280" spans="1:19" ht="13.8">
      <c r="A280" t="s">
        <v>450</v>
      </c>
      <c r="B280" s="21">
        <v>45908</v>
      </c>
      <c r="C280" t="s">
        <v>29</v>
      </c>
      <c r="D280" t="s">
        <v>64</v>
      </c>
      <c r="E280" t="s">
        <v>96</v>
      </c>
      <c r="F280" t="s">
        <v>25</v>
      </c>
      <c r="G280" t="s">
        <v>45</v>
      </c>
      <c r="H280" t="s">
        <v>47</v>
      </c>
      <c r="I280">
        <v>4</v>
      </c>
      <c r="J280">
        <v>400.84</v>
      </c>
      <c r="K280">
        <v>0.1</v>
      </c>
      <c r="L280">
        <v>1443.02</v>
      </c>
      <c r="M280">
        <v>1127.78</v>
      </c>
      <c r="N280">
        <v>1463.5</v>
      </c>
      <c r="O280" s="3">
        <f>_xlfn.XLOOKUP(SalesData[[#This Row],[Product]],ProductLookup[Product],ProductLookup[Standard_Price],"Not Found")</f>
        <v>420</v>
      </c>
      <c r="P280" s="3">
        <f>SalesData[[#This Row],[Revenue]]-SalesData[[#This Row],[Cost]]</f>
        <v>315.24</v>
      </c>
      <c r="Q280" s="5">
        <f>IFERROR(SalesData[[#This Row],[Profit]]/SalesData[[#This Row],[Revenue]],0)</f>
        <v>0.2184585106235534</v>
      </c>
      <c r="R280" s="3">
        <f>SalesData[[#This Row],[Revenue]]-SalesData[[#This Row],[Target]]</f>
        <v>-20.480000000000018</v>
      </c>
      <c r="S280" s="3" t="str">
        <f t="shared" si="4"/>
        <v>Below Target</v>
      </c>
    </row>
    <row r="281" spans="1:19" ht="27.6">
      <c r="A281" t="s">
        <v>451</v>
      </c>
      <c r="B281" s="21">
        <v>45936</v>
      </c>
      <c r="C281" t="s">
        <v>29</v>
      </c>
      <c r="D281" t="s">
        <v>82</v>
      </c>
      <c r="E281" t="s">
        <v>148</v>
      </c>
      <c r="F281" t="s">
        <v>25</v>
      </c>
      <c r="G281" t="s">
        <v>26</v>
      </c>
      <c r="H281" t="s">
        <v>27</v>
      </c>
      <c r="I281">
        <v>4</v>
      </c>
      <c r="J281">
        <v>334.84</v>
      </c>
      <c r="K281">
        <v>0.02</v>
      </c>
      <c r="L281">
        <v>1312.57</v>
      </c>
      <c r="M281">
        <v>890.87</v>
      </c>
      <c r="N281">
        <v>1284.73</v>
      </c>
      <c r="O281" s="3">
        <f>_xlfn.XLOOKUP(SalesData[[#This Row],[Product]],ProductLookup[Product],ProductLookup[Standard_Price],"Not Found")</f>
        <v>320</v>
      </c>
      <c r="P281" s="3">
        <f>SalesData[[#This Row],[Revenue]]-SalesData[[#This Row],[Cost]]</f>
        <v>421.69999999999993</v>
      </c>
      <c r="Q281" s="5">
        <f>IFERROR(SalesData[[#This Row],[Profit]]/SalesData[[#This Row],[Revenue]],0)</f>
        <v>0.32127810326306405</v>
      </c>
      <c r="R281" s="3">
        <f>SalesData[[#This Row],[Revenue]]-SalesData[[#This Row],[Target]]</f>
        <v>27.839999999999918</v>
      </c>
      <c r="S281" s="3" t="str">
        <f t="shared" si="4"/>
        <v>Above Target</v>
      </c>
    </row>
    <row r="282" spans="1:19" ht="27.6">
      <c r="A282" t="s">
        <v>452</v>
      </c>
      <c r="B282" s="21">
        <v>45727</v>
      </c>
      <c r="C282" t="s">
        <v>22</v>
      </c>
      <c r="D282" t="s">
        <v>23</v>
      </c>
      <c r="E282" t="s">
        <v>78</v>
      </c>
      <c r="F282" t="s">
        <v>32</v>
      </c>
      <c r="G282" t="s">
        <v>45</v>
      </c>
      <c r="H282" t="s">
        <v>44</v>
      </c>
      <c r="I282">
        <v>12</v>
      </c>
      <c r="J282">
        <v>259.64999999999998</v>
      </c>
      <c r="K282">
        <v>0.05</v>
      </c>
      <c r="L282">
        <v>2960.01</v>
      </c>
      <c r="M282">
        <v>1930.91</v>
      </c>
      <c r="N282">
        <v>2776.52</v>
      </c>
      <c r="O282" s="3">
        <f>_xlfn.XLOOKUP(SalesData[[#This Row],[Product]],ProductLookup[Product],ProductLookup[Standard_Price],"Not Found")</f>
        <v>260</v>
      </c>
      <c r="P282" s="3">
        <f>SalesData[[#This Row],[Revenue]]-SalesData[[#This Row],[Cost]]</f>
        <v>1029.1000000000001</v>
      </c>
      <c r="Q282" s="5">
        <f>IFERROR(SalesData[[#This Row],[Profit]]/SalesData[[#This Row],[Revenue]],0)</f>
        <v>0.3476677443657285</v>
      </c>
      <c r="R282" s="3">
        <f>SalesData[[#This Row],[Revenue]]-SalesData[[#This Row],[Target]]</f>
        <v>183.49000000000024</v>
      </c>
      <c r="S282" s="3" t="str">
        <f t="shared" si="4"/>
        <v>Above Target</v>
      </c>
    </row>
    <row r="283" spans="1:19" ht="27.6">
      <c r="A283" t="s">
        <v>453</v>
      </c>
      <c r="B283" s="21">
        <v>46015</v>
      </c>
      <c r="C283" t="s">
        <v>15</v>
      </c>
      <c r="D283" t="s">
        <v>64</v>
      </c>
      <c r="E283" t="s">
        <v>368</v>
      </c>
      <c r="F283" t="s">
        <v>25</v>
      </c>
      <c r="G283" t="s">
        <v>26</v>
      </c>
      <c r="H283" t="s">
        <v>27</v>
      </c>
      <c r="I283">
        <v>3</v>
      </c>
      <c r="J283">
        <v>332.31</v>
      </c>
      <c r="K283">
        <v>0.02</v>
      </c>
      <c r="L283">
        <v>976.99</v>
      </c>
      <c r="M283">
        <v>712.48</v>
      </c>
      <c r="N283">
        <v>916.21</v>
      </c>
      <c r="O283" s="3">
        <f>_xlfn.XLOOKUP(SalesData[[#This Row],[Product]],ProductLookup[Product],ProductLookup[Standard_Price],"Not Found")</f>
        <v>320</v>
      </c>
      <c r="P283" s="3">
        <f>SalesData[[#This Row],[Revenue]]-SalesData[[#This Row],[Cost]]</f>
        <v>264.51</v>
      </c>
      <c r="Q283" s="5">
        <f>IFERROR(SalesData[[#This Row],[Profit]]/SalesData[[#This Row],[Revenue]],0)</f>
        <v>0.27073972097974391</v>
      </c>
      <c r="R283" s="3">
        <f>SalesData[[#This Row],[Revenue]]-SalesData[[#This Row],[Target]]</f>
        <v>60.779999999999973</v>
      </c>
      <c r="S283" s="3" t="str">
        <f t="shared" si="4"/>
        <v>Above Target</v>
      </c>
    </row>
    <row r="284" spans="1:19" ht="27.6">
      <c r="A284" t="s">
        <v>454</v>
      </c>
      <c r="B284" s="21">
        <v>46004</v>
      </c>
      <c r="C284" t="s">
        <v>29</v>
      </c>
      <c r="D284" t="s">
        <v>16</v>
      </c>
      <c r="E284" t="s">
        <v>80</v>
      </c>
      <c r="F284" t="s">
        <v>32</v>
      </c>
      <c r="G284" t="s">
        <v>45</v>
      </c>
      <c r="H284" t="s">
        <v>44</v>
      </c>
      <c r="I284">
        <v>3</v>
      </c>
      <c r="J284">
        <v>262.57</v>
      </c>
      <c r="K284">
        <v>0.05</v>
      </c>
      <c r="L284">
        <v>748.32</v>
      </c>
      <c r="M284">
        <v>587.20000000000005</v>
      </c>
      <c r="N284">
        <v>731.46</v>
      </c>
      <c r="O284" s="3">
        <f>_xlfn.XLOOKUP(SalesData[[#This Row],[Product]],ProductLookup[Product],ProductLookup[Standard_Price],"Not Found")</f>
        <v>260</v>
      </c>
      <c r="P284" s="3">
        <f>SalesData[[#This Row],[Revenue]]-SalesData[[#This Row],[Cost]]</f>
        <v>161.12</v>
      </c>
      <c r="Q284" s="5">
        <f>IFERROR(SalesData[[#This Row],[Profit]]/SalesData[[#This Row],[Revenue]],0)</f>
        <v>0.21530895873423134</v>
      </c>
      <c r="R284" s="3">
        <f>SalesData[[#This Row],[Revenue]]-SalesData[[#This Row],[Target]]</f>
        <v>16.860000000000014</v>
      </c>
      <c r="S284" s="3" t="str">
        <f t="shared" si="4"/>
        <v>Above Target</v>
      </c>
    </row>
    <row r="285" spans="1:19" ht="27.6">
      <c r="A285" t="s">
        <v>455</v>
      </c>
      <c r="B285" s="21">
        <v>45664</v>
      </c>
      <c r="C285" t="s">
        <v>15</v>
      </c>
      <c r="D285" t="s">
        <v>82</v>
      </c>
      <c r="E285" t="s">
        <v>148</v>
      </c>
      <c r="F285" t="s">
        <v>74</v>
      </c>
      <c r="G285" t="s">
        <v>26</v>
      </c>
      <c r="H285" t="s">
        <v>40</v>
      </c>
      <c r="I285">
        <v>8</v>
      </c>
      <c r="J285">
        <v>436.79</v>
      </c>
      <c r="K285">
        <v>0</v>
      </c>
      <c r="L285">
        <v>3494.32</v>
      </c>
      <c r="M285">
        <v>2785.25</v>
      </c>
      <c r="N285">
        <v>3329.87</v>
      </c>
      <c r="O285" s="3">
        <f>_xlfn.XLOOKUP(SalesData[[#This Row],[Product]],ProductLookup[Product],ProductLookup[Standard_Price],"Not Found")</f>
        <v>450</v>
      </c>
      <c r="P285" s="3">
        <f>SalesData[[#This Row],[Revenue]]-SalesData[[#This Row],[Cost]]</f>
        <v>709.07000000000016</v>
      </c>
      <c r="Q285" s="5">
        <f>IFERROR(SalesData[[#This Row],[Profit]]/SalesData[[#This Row],[Revenue]],0)</f>
        <v>0.20292073994368007</v>
      </c>
      <c r="R285" s="3">
        <f>SalesData[[#This Row],[Revenue]]-SalesData[[#This Row],[Target]]</f>
        <v>164.45000000000027</v>
      </c>
      <c r="S285" s="3" t="str">
        <f t="shared" si="4"/>
        <v>Above Target</v>
      </c>
    </row>
    <row r="286" spans="1:19" ht="27.6">
      <c r="A286" t="s">
        <v>456</v>
      </c>
      <c r="B286" s="21">
        <v>45715</v>
      </c>
      <c r="C286" t="s">
        <v>15</v>
      </c>
      <c r="D286" t="s">
        <v>16</v>
      </c>
      <c r="E286" t="s">
        <v>24</v>
      </c>
      <c r="F286" t="s">
        <v>74</v>
      </c>
      <c r="G286" t="s">
        <v>19</v>
      </c>
      <c r="H286" t="s">
        <v>38</v>
      </c>
      <c r="I286">
        <v>6</v>
      </c>
      <c r="J286">
        <v>944.78</v>
      </c>
      <c r="K286">
        <v>0.08</v>
      </c>
      <c r="L286">
        <v>5215.1899999999996</v>
      </c>
      <c r="M286">
        <v>3545.57</v>
      </c>
      <c r="N286">
        <v>4799.76</v>
      </c>
      <c r="O286" s="3">
        <f>_xlfn.XLOOKUP(SalesData[[#This Row],[Product]],ProductLookup[Product],ProductLookup[Standard_Price],"Not Found")</f>
        <v>950</v>
      </c>
      <c r="P286" s="3">
        <f>SalesData[[#This Row],[Revenue]]-SalesData[[#This Row],[Cost]]</f>
        <v>1669.6199999999994</v>
      </c>
      <c r="Q286" s="5">
        <f>IFERROR(SalesData[[#This Row],[Profit]]/SalesData[[#This Row],[Revenue]],0)</f>
        <v>0.32014557475374811</v>
      </c>
      <c r="R286" s="3">
        <f>SalesData[[#This Row],[Revenue]]-SalesData[[#This Row],[Target]]</f>
        <v>415.42999999999938</v>
      </c>
      <c r="S286" s="3" t="str">
        <f t="shared" si="4"/>
        <v>Above Target</v>
      </c>
    </row>
    <row r="287" spans="1:19" ht="27.6">
      <c r="A287" t="s">
        <v>457</v>
      </c>
      <c r="B287" s="21">
        <v>45906</v>
      </c>
      <c r="C287" t="s">
        <v>22</v>
      </c>
      <c r="D287" t="s">
        <v>68</v>
      </c>
      <c r="E287" t="s">
        <v>170</v>
      </c>
      <c r="F287" t="s">
        <v>25</v>
      </c>
      <c r="G287" t="s">
        <v>19</v>
      </c>
      <c r="H287" t="s">
        <v>37</v>
      </c>
      <c r="I287">
        <v>12</v>
      </c>
      <c r="J287">
        <v>1123.8900000000001</v>
      </c>
      <c r="K287">
        <v>0.1</v>
      </c>
      <c r="L287">
        <v>12138.01</v>
      </c>
      <c r="M287">
        <v>8787.9599999999991</v>
      </c>
      <c r="N287">
        <v>10998.4</v>
      </c>
      <c r="O287" s="3">
        <f>_xlfn.XLOOKUP(SalesData[[#This Row],[Product]],ProductLookup[Product],ProductLookup[Standard_Price],"Not Found")</f>
        <v>1100</v>
      </c>
      <c r="P287" s="3">
        <f>SalesData[[#This Row],[Revenue]]-SalesData[[#This Row],[Cost]]</f>
        <v>3350.0500000000011</v>
      </c>
      <c r="Q287" s="5">
        <f>IFERROR(SalesData[[#This Row],[Profit]]/SalesData[[#This Row],[Revenue]],0)</f>
        <v>0.27599664195366463</v>
      </c>
      <c r="R287" s="3">
        <f>SalesData[[#This Row],[Revenue]]-SalesData[[#This Row],[Target]]</f>
        <v>1139.6100000000006</v>
      </c>
      <c r="S287" s="3" t="str">
        <f t="shared" si="4"/>
        <v>Above Target</v>
      </c>
    </row>
    <row r="288" spans="1:19" ht="13.8">
      <c r="A288" t="s">
        <v>458</v>
      </c>
      <c r="B288" s="21">
        <v>45936</v>
      </c>
      <c r="C288" t="s">
        <v>67</v>
      </c>
      <c r="D288" t="s">
        <v>82</v>
      </c>
      <c r="E288" t="s">
        <v>254</v>
      </c>
      <c r="F288" t="s">
        <v>18</v>
      </c>
      <c r="G288" t="s">
        <v>26</v>
      </c>
      <c r="H288" t="s">
        <v>40</v>
      </c>
      <c r="I288">
        <v>1</v>
      </c>
      <c r="J288">
        <v>443.67</v>
      </c>
      <c r="K288">
        <v>0</v>
      </c>
      <c r="L288">
        <v>443.67</v>
      </c>
      <c r="M288">
        <v>329.11</v>
      </c>
      <c r="N288">
        <v>457.27</v>
      </c>
      <c r="O288" s="3">
        <f>_xlfn.XLOOKUP(SalesData[[#This Row],[Product]],ProductLookup[Product],ProductLookup[Standard_Price],"Not Found")</f>
        <v>450</v>
      </c>
      <c r="P288" s="3">
        <f>SalesData[[#This Row],[Revenue]]-SalesData[[#This Row],[Cost]]</f>
        <v>114.56</v>
      </c>
      <c r="Q288" s="5">
        <f>IFERROR(SalesData[[#This Row],[Profit]]/SalesData[[#This Row],[Revenue]],0)</f>
        <v>0.25820993080442672</v>
      </c>
      <c r="R288" s="3">
        <f>SalesData[[#This Row],[Revenue]]-SalesData[[#This Row],[Target]]</f>
        <v>-13.599999999999966</v>
      </c>
      <c r="S288" s="3" t="str">
        <f t="shared" si="4"/>
        <v>Below Target</v>
      </c>
    </row>
    <row r="289" spans="1:19" ht="27.6">
      <c r="A289" t="s">
        <v>459</v>
      </c>
      <c r="B289" s="21">
        <v>45728</v>
      </c>
      <c r="C289" t="s">
        <v>29</v>
      </c>
      <c r="D289" t="s">
        <v>82</v>
      </c>
      <c r="E289" t="s">
        <v>164</v>
      </c>
      <c r="F289" t="s">
        <v>25</v>
      </c>
      <c r="G289" t="s">
        <v>45</v>
      </c>
      <c r="H289" t="s">
        <v>46</v>
      </c>
      <c r="I289">
        <v>1</v>
      </c>
      <c r="J289">
        <v>323.86</v>
      </c>
      <c r="K289">
        <v>0.05</v>
      </c>
      <c r="L289">
        <v>307.67</v>
      </c>
      <c r="M289">
        <v>241.43</v>
      </c>
      <c r="N289">
        <v>292.63</v>
      </c>
      <c r="O289" s="3">
        <f>_xlfn.XLOOKUP(SalesData[[#This Row],[Product]],ProductLookup[Product],ProductLookup[Standard_Price],"Not Found")</f>
        <v>340</v>
      </c>
      <c r="P289" s="3">
        <f>SalesData[[#This Row],[Revenue]]-SalesData[[#This Row],[Cost]]</f>
        <v>66.240000000000009</v>
      </c>
      <c r="Q289" s="5">
        <f>IFERROR(SalesData[[#This Row],[Profit]]/SalesData[[#This Row],[Revenue]],0)</f>
        <v>0.21529560893164756</v>
      </c>
      <c r="R289" s="3">
        <f>SalesData[[#This Row],[Revenue]]-SalesData[[#This Row],[Target]]</f>
        <v>15.04000000000002</v>
      </c>
      <c r="S289" s="3" t="str">
        <f t="shared" si="4"/>
        <v>Above Target</v>
      </c>
    </row>
    <row r="290" spans="1:19" ht="27.6">
      <c r="A290" t="s">
        <v>460</v>
      </c>
      <c r="B290" s="21">
        <v>45710</v>
      </c>
      <c r="C290" t="s">
        <v>67</v>
      </c>
      <c r="D290" t="s">
        <v>30</v>
      </c>
      <c r="E290" t="s">
        <v>363</v>
      </c>
      <c r="F290" t="s">
        <v>32</v>
      </c>
      <c r="G290" t="s">
        <v>45</v>
      </c>
      <c r="H290" t="s">
        <v>47</v>
      </c>
      <c r="I290">
        <v>12</v>
      </c>
      <c r="J290">
        <v>433.88</v>
      </c>
      <c r="K290">
        <v>0.1</v>
      </c>
      <c r="L290">
        <v>4685.8999999999996</v>
      </c>
      <c r="M290">
        <v>3447.39</v>
      </c>
      <c r="N290">
        <v>4550.24</v>
      </c>
      <c r="O290" s="3">
        <f>_xlfn.XLOOKUP(SalesData[[#This Row],[Product]],ProductLookup[Product],ProductLookup[Standard_Price],"Not Found")</f>
        <v>420</v>
      </c>
      <c r="P290" s="3">
        <f>SalesData[[#This Row],[Revenue]]-SalesData[[#This Row],[Cost]]</f>
        <v>1238.5099999999998</v>
      </c>
      <c r="Q290" s="5">
        <f>IFERROR(SalesData[[#This Row],[Profit]]/SalesData[[#This Row],[Revenue]],0)</f>
        <v>0.26430568300646617</v>
      </c>
      <c r="R290" s="3">
        <f>SalesData[[#This Row],[Revenue]]-SalesData[[#This Row],[Target]]</f>
        <v>135.65999999999985</v>
      </c>
      <c r="S290" s="3" t="str">
        <f t="shared" si="4"/>
        <v>Above Target</v>
      </c>
    </row>
    <row r="291" spans="1:19" ht="27.6">
      <c r="A291" t="s">
        <v>461</v>
      </c>
      <c r="B291" s="21">
        <v>45727</v>
      </c>
      <c r="C291" t="s">
        <v>22</v>
      </c>
      <c r="D291" t="s">
        <v>16</v>
      </c>
      <c r="E291" t="s">
        <v>65</v>
      </c>
      <c r="F291" t="s">
        <v>74</v>
      </c>
      <c r="G291" t="s">
        <v>33</v>
      </c>
      <c r="H291" t="s">
        <v>42</v>
      </c>
      <c r="I291">
        <v>15</v>
      </c>
      <c r="J291">
        <v>59.22</v>
      </c>
      <c r="K291">
        <v>0.03</v>
      </c>
      <c r="L291">
        <v>861.65</v>
      </c>
      <c r="M291">
        <v>562.37</v>
      </c>
      <c r="N291">
        <v>766.78</v>
      </c>
      <c r="O291" s="3">
        <f>_xlfn.XLOOKUP(SalesData[[#This Row],[Product]],ProductLookup[Product],ProductLookup[Standard_Price],"Not Found")</f>
        <v>60</v>
      </c>
      <c r="P291" s="3">
        <f>SalesData[[#This Row],[Revenue]]-SalesData[[#This Row],[Cost]]</f>
        <v>299.27999999999997</v>
      </c>
      <c r="Q291" s="5">
        <f>IFERROR(SalesData[[#This Row],[Profit]]/SalesData[[#This Row],[Revenue]],0)</f>
        <v>0.34733360413160796</v>
      </c>
      <c r="R291" s="3">
        <f>SalesData[[#This Row],[Revenue]]-SalesData[[#This Row],[Target]]</f>
        <v>94.87</v>
      </c>
      <c r="S291" s="3" t="str">
        <f t="shared" si="4"/>
        <v>Above Target</v>
      </c>
    </row>
    <row r="292" spans="1:19" ht="13.8">
      <c r="A292" t="s">
        <v>462</v>
      </c>
      <c r="B292" s="21">
        <v>45874</v>
      </c>
      <c r="C292" t="s">
        <v>29</v>
      </c>
      <c r="D292" t="s">
        <v>82</v>
      </c>
      <c r="E292" t="s">
        <v>363</v>
      </c>
      <c r="F292" t="s">
        <v>25</v>
      </c>
      <c r="G292" t="s">
        <v>33</v>
      </c>
      <c r="H292" t="s">
        <v>41</v>
      </c>
      <c r="I292">
        <v>12</v>
      </c>
      <c r="J292">
        <v>82.09</v>
      </c>
      <c r="K292">
        <v>0.03</v>
      </c>
      <c r="L292">
        <v>955.53</v>
      </c>
      <c r="M292">
        <v>700</v>
      </c>
      <c r="N292">
        <v>984.54</v>
      </c>
      <c r="O292" s="3">
        <f>_xlfn.XLOOKUP(SalesData[[#This Row],[Product]],ProductLookup[Product],ProductLookup[Standard_Price],"Not Found")</f>
        <v>85</v>
      </c>
      <c r="P292" s="3">
        <f>SalesData[[#This Row],[Revenue]]-SalesData[[#This Row],[Cost]]</f>
        <v>255.52999999999997</v>
      </c>
      <c r="Q292" s="5">
        <f>IFERROR(SalesData[[#This Row],[Profit]]/SalesData[[#This Row],[Revenue]],0)</f>
        <v>0.26742226826996535</v>
      </c>
      <c r="R292" s="3">
        <f>SalesData[[#This Row],[Revenue]]-SalesData[[#This Row],[Target]]</f>
        <v>-29.009999999999991</v>
      </c>
      <c r="S292" s="3" t="str">
        <f t="shared" si="4"/>
        <v>Below Target</v>
      </c>
    </row>
    <row r="293" spans="1:19" ht="13.8">
      <c r="A293" t="s">
        <v>463</v>
      </c>
      <c r="B293" s="21">
        <v>45728</v>
      </c>
      <c r="C293" t="s">
        <v>22</v>
      </c>
      <c r="D293" t="s">
        <v>23</v>
      </c>
      <c r="E293" t="s">
        <v>65</v>
      </c>
      <c r="F293" t="s">
        <v>32</v>
      </c>
      <c r="G293" t="s">
        <v>33</v>
      </c>
      <c r="H293" t="s">
        <v>41</v>
      </c>
      <c r="I293">
        <v>11</v>
      </c>
      <c r="J293">
        <v>88.99</v>
      </c>
      <c r="K293">
        <v>0</v>
      </c>
      <c r="L293">
        <v>978.89</v>
      </c>
      <c r="M293">
        <v>798.18</v>
      </c>
      <c r="N293">
        <v>1061.27</v>
      </c>
      <c r="O293" s="3">
        <f>_xlfn.XLOOKUP(SalesData[[#This Row],[Product]],ProductLookup[Product],ProductLookup[Standard_Price],"Not Found")</f>
        <v>85</v>
      </c>
      <c r="P293" s="3">
        <f>SalesData[[#This Row],[Revenue]]-SalesData[[#This Row],[Cost]]</f>
        <v>180.71000000000004</v>
      </c>
      <c r="Q293" s="5">
        <f>IFERROR(SalesData[[#This Row],[Profit]]/SalesData[[#This Row],[Revenue]],0)</f>
        <v>0.18460705492956311</v>
      </c>
      <c r="R293" s="3">
        <f>SalesData[[#This Row],[Revenue]]-SalesData[[#This Row],[Target]]</f>
        <v>-82.38</v>
      </c>
      <c r="S293" s="3" t="str">
        <f t="shared" si="4"/>
        <v>Below Target</v>
      </c>
    </row>
    <row r="294" spans="1:19" ht="27.6">
      <c r="A294" t="s">
        <v>464</v>
      </c>
      <c r="B294" s="21">
        <v>45659</v>
      </c>
      <c r="C294" t="s">
        <v>15</v>
      </c>
      <c r="D294" t="s">
        <v>64</v>
      </c>
      <c r="E294" t="s">
        <v>322</v>
      </c>
      <c r="F294" t="s">
        <v>74</v>
      </c>
      <c r="G294" t="s">
        <v>19</v>
      </c>
      <c r="H294" t="s">
        <v>20</v>
      </c>
      <c r="I294">
        <v>14</v>
      </c>
      <c r="J294">
        <v>859.41</v>
      </c>
      <c r="K294">
        <v>0.08</v>
      </c>
      <c r="L294">
        <v>11069.2</v>
      </c>
      <c r="M294">
        <v>7677.57</v>
      </c>
      <c r="N294">
        <v>10493.4</v>
      </c>
      <c r="O294" s="3">
        <f>_xlfn.XLOOKUP(SalesData[[#This Row],[Product]],ProductLookup[Product],ProductLookup[Standard_Price],"Not Found")</f>
        <v>850</v>
      </c>
      <c r="P294" s="3">
        <f>SalesData[[#This Row],[Revenue]]-SalesData[[#This Row],[Cost]]</f>
        <v>3391.630000000001</v>
      </c>
      <c r="Q294" s="5">
        <f>IFERROR(SalesData[[#This Row],[Profit]]/SalesData[[#This Row],[Revenue]],0)</f>
        <v>0.30640245004155681</v>
      </c>
      <c r="R294" s="3">
        <f>SalesData[[#This Row],[Revenue]]-SalesData[[#This Row],[Target]]</f>
        <v>575.80000000000109</v>
      </c>
      <c r="S294" s="3" t="str">
        <f t="shared" si="4"/>
        <v>Above Target</v>
      </c>
    </row>
    <row r="295" spans="1:19" ht="27.6">
      <c r="A295" t="s">
        <v>465</v>
      </c>
      <c r="B295" s="21">
        <v>45831</v>
      </c>
      <c r="C295" t="s">
        <v>67</v>
      </c>
      <c r="D295" t="s">
        <v>16</v>
      </c>
      <c r="E295" t="s">
        <v>213</v>
      </c>
      <c r="F295" t="s">
        <v>32</v>
      </c>
      <c r="G295" t="s">
        <v>19</v>
      </c>
      <c r="H295" t="s">
        <v>37</v>
      </c>
      <c r="I295">
        <v>8</v>
      </c>
      <c r="J295">
        <v>1045.97</v>
      </c>
      <c r="K295">
        <v>0.02</v>
      </c>
      <c r="L295">
        <v>8200.4</v>
      </c>
      <c r="M295">
        <v>6551.13</v>
      </c>
      <c r="N295">
        <v>7540.03</v>
      </c>
      <c r="O295" s="3">
        <f>_xlfn.XLOOKUP(SalesData[[#This Row],[Product]],ProductLookup[Product],ProductLookup[Standard_Price],"Not Found")</f>
        <v>1100</v>
      </c>
      <c r="P295" s="3">
        <f>SalesData[[#This Row],[Revenue]]-SalesData[[#This Row],[Cost]]</f>
        <v>1649.2699999999995</v>
      </c>
      <c r="Q295" s="5">
        <f>IFERROR(SalesData[[#This Row],[Profit]]/SalesData[[#This Row],[Revenue]],0)</f>
        <v>0.20112067704014433</v>
      </c>
      <c r="R295" s="3">
        <f>SalesData[[#This Row],[Revenue]]-SalesData[[#This Row],[Target]]</f>
        <v>660.36999999999989</v>
      </c>
      <c r="S295" s="3" t="str">
        <f t="shared" si="4"/>
        <v>Above Target</v>
      </c>
    </row>
    <row r="296" spans="1:19" ht="27.6">
      <c r="A296" t="s">
        <v>466</v>
      </c>
      <c r="B296" s="21">
        <v>45948</v>
      </c>
      <c r="C296" t="s">
        <v>29</v>
      </c>
      <c r="D296" t="s">
        <v>68</v>
      </c>
      <c r="E296" t="s">
        <v>467</v>
      </c>
      <c r="F296" t="s">
        <v>18</v>
      </c>
      <c r="G296" t="s">
        <v>26</v>
      </c>
      <c r="H296" t="s">
        <v>39</v>
      </c>
      <c r="I296">
        <v>8</v>
      </c>
      <c r="J296">
        <v>210.87</v>
      </c>
      <c r="K296">
        <v>0.03</v>
      </c>
      <c r="L296">
        <v>1636.35</v>
      </c>
      <c r="M296">
        <v>1167.8499999999999</v>
      </c>
      <c r="N296">
        <v>1608.22</v>
      </c>
      <c r="O296" s="3">
        <f>_xlfn.XLOOKUP(SalesData[[#This Row],[Product]],ProductLookup[Product],ProductLookup[Standard_Price],"Not Found")</f>
        <v>220</v>
      </c>
      <c r="P296" s="3">
        <f>SalesData[[#This Row],[Revenue]]-SalesData[[#This Row],[Cost]]</f>
        <v>468.5</v>
      </c>
      <c r="Q296" s="5">
        <f>IFERROR(SalesData[[#This Row],[Profit]]/SalesData[[#This Row],[Revenue]],0)</f>
        <v>0.28630794145506772</v>
      </c>
      <c r="R296" s="3">
        <f>SalesData[[#This Row],[Revenue]]-SalesData[[#This Row],[Target]]</f>
        <v>28.129999999999882</v>
      </c>
      <c r="S296" s="3" t="str">
        <f t="shared" si="4"/>
        <v>Above Target</v>
      </c>
    </row>
    <row r="297" spans="1:19" ht="13.8">
      <c r="A297" t="s">
        <v>468</v>
      </c>
      <c r="B297" s="21">
        <v>45688</v>
      </c>
      <c r="C297" t="s">
        <v>67</v>
      </c>
      <c r="D297" t="s">
        <v>68</v>
      </c>
      <c r="E297" t="s">
        <v>469</v>
      </c>
      <c r="F297" t="s">
        <v>25</v>
      </c>
      <c r="G297" t="s">
        <v>45</v>
      </c>
      <c r="H297" t="s">
        <v>46</v>
      </c>
      <c r="I297">
        <v>11</v>
      </c>
      <c r="J297">
        <v>334.27</v>
      </c>
      <c r="K297">
        <v>0.1</v>
      </c>
      <c r="L297">
        <v>3309.27</v>
      </c>
      <c r="M297">
        <v>2201.8200000000002</v>
      </c>
      <c r="N297">
        <v>3365.76</v>
      </c>
      <c r="O297" s="3">
        <f>_xlfn.XLOOKUP(SalesData[[#This Row],[Product]],ProductLookup[Product],ProductLookup[Standard_Price],"Not Found")</f>
        <v>340</v>
      </c>
      <c r="P297" s="3">
        <f>SalesData[[#This Row],[Revenue]]-SalesData[[#This Row],[Cost]]</f>
        <v>1107.4499999999998</v>
      </c>
      <c r="Q297" s="5">
        <f>IFERROR(SalesData[[#This Row],[Profit]]/SalesData[[#This Row],[Revenue]],0)</f>
        <v>0.33465084444605603</v>
      </c>
      <c r="R297" s="3">
        <f>SalesData[[#This Row],[Revenue]]-SalesData[[#This Row],[Target]]</f>
        <v>-56.490000000000236</v>
      </c>
      <c r="S297" s="3" t="str">
        <f t="shared" si="4"/>
        <v>Below Target</v>
      </c>
    </row>
    <row r="298" spans="1:19" ht="27.6">
      <c r="A298" t="s">
        <v>470</v>
      </c>
      <c r="B298" s="21">
        <v>45811</v>
      </c>
      <c r="C298" t="s">
        <v>22</v>
      </c>
      <c r="D298" t="s">
        <v>82</v>
      </c>
      <c r="E298" t="s">
        <v>91</v>
      </c>
      <c r="F298" t="s">
        <v>25</v>
      </c>
      <c r="G298" t="s">
        <v>26</v>
      </c>
      <c r="H298" t="s">
        <v>40</v>
      </c>
      <c r="I298">
        <v>9</v>
      </c>
      <c r="J298">
        <v>467.33</v>
      </c>
      <c r="K298">
        <v>0</v>
      </c>
      <c r="L298">
        <v>4205.97</v>
      </c>
      <c r="M298">
        <v>3308.35</v>
      </c>
      <c r="N298">
        <v>3925.84</v>
      </c>
      <c r="O298" s="3">
        <f>_xlfn.XLOOKUP(SalesData[[#This Row],[Product]],ProductLookup[Product],ProductLookup[Standard_Price],"Not Found")</f>
        <v>450</v>
      </c>
      <c r="P298" s="3">
        <f>SalesData[[#This Row],[Revenue]]-SalesData[[#This Row],[Cost]]</f>
        <v>897.62000000000035</v>
      </c>
      <c r="Q298" s="5">
        <f>IFERROR(SalesData[[#This Row],[Profit]]/SalesData[[#This Row],[Revenue]],0)</f>
        <v>0.21341569245619924</v>
      </c>
      <c r="R298" s="3">
        <f>SalesData[[#This Row],[Revenue]]-SalesData[[#This Row],[Target]]</f>
        <v>280.13000000000011</v>
      </c>
      <c r="S298" s="3" t="str">
        <f t="shared" si="4"/>
        <v>Above Target</v>
      </c>
    </row>
    <row r="299" spans="1:19" ht="27.6">
      <c r="A299" t="s">
        <v>471</v>
      </c>
      <c r="B299" s="21">
        <v>45996</v>
      </c>
      <c r="C299" t="s">
        <v>22</v>
      </c>
      <c r="D299" t="s">
        <v>68</v>
      </c>
      <c r="E299" t="s">
        <v>228</v>
      </c>
      <c r="F299" t="s">
        <v>18</v>
      </c>
      <c r="G299" t="s">
        <v>33</v>
      </c>
      <c r="H299" t="s">
        <v>43</v>
      </c>
      <c r="I299">
        <v>6</v>
      </c>
      <c r="J299">
        <v>75.41</v>
      </c>
      <c r="K299">
        <v>0.05</v>
      </c>
      <c r="L299">
        <v>429.84</v>
      </c>
      <c r="M299">
        <v>291.95</v>
      </c>
      <c r="N299">
        <v>403.04</v>
      </c>
      <c r="O299" s="3">
        <f>_xlfn.XLOOKUP(SalesData[[#This Row],[Product]],ProductLookup[Product],ProductLookup[Standard_Price],"Not Found")</f>
        <v>75</v>
      </c>
      <c r="P299" s="3">
        <f>SalesData[[#This Row],[Revenue]]-SalesData[[#This Row],[Cost]]</f>
        <v>137.88999999999999</v>
      </c>
      <c r="Q299" s="5">
        <f>IFERROR(SalesData[[#This Row],[Profit]]/SalesData[[#This Row],[Revenue]],0)</f>
        <v>0.32079378373348222</v>
      </c>
      <c r="R299" s="3">
        <f>SalesData[[#This Row],[Revenue]]-SalesData[[#This Row],[Target]]</f>
        <v>26.799999999999955</v>
      </c>
      <c r="S299" s="3" t="str">
        <f t="shared" si="4"/>
        <v>Above Target</v>
      </c>
    </row>
    <row r="300" spans="1:19" ht="13.8">
      <c r="A300" t="s">
        <v>472</v>
      </c>
      <c r="B300" s="21">
        <v>45774</v>
      </c>
      <c r="C300" t="s">
        <v>67</v>
      </c>
      <c r="D300" t="s">
        <v>82</v>
      </c>
      <c r="E300" t="s">
        <v>71</v>
      </c>
      <c r="F300" t="s">
        <v>25</v>
      </c>
      <c r="G300" t="s">
        <v>19</v>
      </c>
      <c r="H300" t="s">
        <v>38</v>
      </c>
      <c r="I300">
        <v>15</v>
      </c>
      <c r="J300">
        <v>921.77</v>
      </c>
      <c r="K300">
        <v>0.1</v>
      </c>
      <c r="L300">
        <v>12443.9</v>
      </c>
      <c r="M300">
        <v>7773.7</v>
      </c>
      <c r="N300">
        <v>13525.54</v>
      </c>
      <c r="O300" s="3">
        <f>_xlfn.XLOOKUP(SalesData[[#This Row],[Product]],ProductLookup[Product],ProductLookup[Standard_Price],"Not Found")</f>
        <v>950</v>
      </c>
      <c r="P300" s="3">
        <f>SalesData[[#This Row],[Revenue]]-SalesData[[#This Row],[Cost]]</f>
        <v>4670.2</v>
      </c>
      <c r="Q300" s="5">
        <f>IFERROR(SalesData[[#This Row],[Profit]]/SalesData[[#This Row],[Revenue]],0)</f>
        <v>0.3753003479616519</v>
      </c>
      <c r="R300" s="3">
        <f>SalesData[[#This Row],[Revenue]]-SalesData[[#This Row],[Target]]</f>
        <v>-1081.6400000000012</v>
      </c>
      <c r="S300" s="3" t="str">
        <f t="shared" si="4"/>
        <v>Below Target</v>
      </c>
    </row>
    <row r="301" spans="1:19" ht="27.6">
      <c r="A301" t="s">
        <v>473</v>
      </c>
      <c r="B301" s="21">
        <v>45929</v>
      </c>
      <c r="C301" t="s">
        <v>15</v>
      </c>
      <c r="D301" t="s">
        <v>82</v>
      </c>
      <c r="E301" t="s">
        <v>336</v>
      </c>
      <c r="F301" t="s">
        <v>18</v>
      </c>
      <c r="G301" t="s">
        <v>45</v>
      </c>
      <c r="H301" t="s">
        <v>44</v>
      </c>
      <c r="I301">
        <v>5</v>
      </c>
      <c r="J301">
        <v>265.44</v>
      </c>
      <c r="K301">
        <v>0.02</v>
      </c>
      <c r="L301">
        <v>1300.6600000000001</v>
      </c>
      <c r="M301">
        <v>938.93</v>
      </c>
      <c r="N301">
        <v>1215.3</v>
      </c>
      <c r="O301" s="3">
        <f>_xlfn.XLOOKUP(SalesData[[#This Row],[Product]],ProductLookup[Product],ProductLookup[Standard_Price],"Not Found")</f>
        <v>260</v>
      </c>
      <c r="P301" s="3">
        <f>SalesData[[#This Row],[Revenue]]-SalesData[[#This Row],[Cost]]</f>
        <v>361.73000000000013</v>
      </c>
      <c r="Q301" s="5">
        <f>IFERROR(SalesData[[#This Row],[Profit]]/SalesData[[#This Row],[Revenue]],0)</f>
        <v>0.2781126505005152</v>
      </c>
      <c r="R301" s="3">
        <f>SalesData[[#This Row],[Revenue]]-SalesData[[#This Row],[Target]]</f>
        <v>85.360000000000127</v>
      </c>
      <c r="S301" s="3" t="str">
        <f t="shared" si="4"/>
        <v>Above Target</v>
      </c>
    </row>
    <row r="302" spans="1:19" ht="13.8">
      <c r="A302" t="s">
        <v>474</v>
      </c>
      <c r="B302" s="21">
        <v>45866</v>
      </c>
      <c r="C302" t="s">
        <v>15</v>
      </c>
      <c r="D302" t="s">
        <v>82</v>
      </c>
      <c r="E302" t="s">
        <v>356</v>
      </c>
      <c r="F302" t="s">
        <v>18</v>
      </c>
      <c r="G302" t="s">
        <v>45</v>
      </c>
      <c r="H302" t="s">
        <v>44</v>
      </c>
      <c r="I302">
        <v>2</v>
      </c>
      <c r="J302">
        <v>267.81</v>
      </c>
      <c r="K302">
        <v>0.02</v>
      </c>
      <c r="L302">
        <v>524.91</v>
      </c>
      <c r="M302">
        <v>414.66</v>
      </c>
      <c r="N302">
        <v>531.28</v>
      </c>
      <c r="O302" s="3">
        <f>_xlfn.XLOOKUP(SalesData[[#This Row],[Product]],ProductLookup[Product],ProductLookup[Standard_Price],"Not Found")</f>
        <v>260</v>
      </c>
      <c r="P302" s="3">
        <f>SalesData[[#This Row],[Revenue]]-SalesData[[#This Row],[Cost]]</f>
        <v>110.24999999999994</v>
      </c>
      <c r="Q302" s="5">
        <f>IFERROR(SalesData[[#This Row],[Profit]]/SalesData[[#This Row],[Revenue]],0)</f>
        <v>0.21003600617248661</v>
      </c>
      <c r="R302" s="3">
        <f>SalesData[[#This Row],[Revenue]]-SalesData[[#This Row],[Target]]</f>
        <v>-6.3700000000000045</v>
      </c>
      <c r="S302" s="3" t="str">
        <f t="shared" si="4"/>
        <v>Below Target</v>
      </c>
    </row>
    <row r="303" spans="1:19" ht="13.8">
      <c r="A303" t="s">
        <v>475</v>
      </c>
      <c r="B303" s="21">
        <v>45893</v>
      </c>
      <c r="C303" t="s">
        <v>29</v>
      </c>
      <c r="D303" t="s">
        <v>30</v>
      </c>
      <c r="E303" t="s">
        <v>447</v>
      </c>
      <c r="F303" t="s">
        <v>18</v>
      </c>
      <c r="G303" t="s">
        <v>45</v>
      </c>
      <c r="H303" t="s">
        <v>44</v>
      </c>
      <c r="I303">
        <v>7</v>
      </c>
      <c r="J303">
        <v>261.14999999999998</v>
      </c>
      <c r="K303">
        <v>0.02</v>
      </c>
      <c r="L303">
        <v>1791.49</v>
      </c>
      <c r="M303">
        <v>1296.8</v>
      </c>
      <c r="N303">
        <v>1909.72</v>
      </c>
      <c r="O303" s="3">
        <f>_xlfn.XLOOKUP(SalesData[[#This Row],[Product]],ProductLookup[Product],ProductLookup[Standard_Price],"Not Found")</f>
        <v>260</v>
      </c>
      <c r="P303" s="3">
        <f>SalesData[[#This Row],[Revenue]]-SalesData[[#This Row],[Cost]]</f>
        <v>494.69000000000005</v>
      </c>
      <c r="Q303" s="5">
        <f>IFERROR(SalesData[[#This Row],[Profit]]/SalesData[[#This Row],[Revenue]],0)</f>
        <v>0.27613327453683806</v>
      </c>
      <c r="R303" s="3">
        <f>SalesData[[#This Row],[Revenue]]-SalesData[[#This Row],[Target]]</f>
        <v>-118.23000000000002</v>
      </c>
      <c r="S303" s="3" t="str">
        <f t="shared" si="4"/>
        <v>Below Target</v>
      </c>
    </row>
    <row r="304" spans="1:19" ht="13.8">
      <c r="A304" t="s">
        <v>476</v>
      </c>
      <c r="B304" s="21">
        <v>45865</v>
      </c>
      <c r="C304" t="s">
        <v>22</v>
      </c>
      <c r="D304" t="s">
        <v>30</v>
      </c>
      <c r="E304" t="s">
        <v>330</v>
      </c>
      <c r="F304" t="s">
        <v>25</v>
      </c>
      <c r="G304" t="s">
        <v>26</v>
      </c>
      <c r="H304" t="s">
        <v>39</v>
      </c>
      <c r="I304">
        <v>1</v>
      </c>
      <c r="J304">
        <v>217.19</v>
      </c>
      <c r="K304">
        <v>0</v>
      </c>
      <c r="L304">
        <v>217.19</v>
      </c>
      <c r="M304">
        <v>163.85</v>
      </c>
      <c r="N304">
        <v>240.94</v>
      </c>
      <c r="O304" s="3">
        <f>_xlfn.XLOOKUP(SalesData[[#This Row],[Product]],ProductLookup[Product],ProductLookup[Standard_Price],"Not Found")</f>
        <v>220</v>
      </c>
      <c r="P304" s="3">
        <f>SalesData[[#This Row],[Revenue]]-SalesData[[#This Row],[Cost]]</f>
        <v>53.34</v>
      </c>
      <c r="Q304" s="5">
        <f>IFERROR(SalesData[[#This Row],[Profit]]/SalesData[[#This Row],[Revenue]],0)</f>
        <v>0.24559141765274647</v>
      </c>
      <c r="R304" s="3">
        <f>SalesData[[#This Row],[Revenue]]-SalesData[[#This Row],[Target]]</f>
        <v>-23.75</v>
      </c>
      <c r="S304" s="3" t="str">
        <f t="shared" si="4"/>
        <v>Below Target</v>
      </c>
    </row>
    <row r="305" spans="1:19" ht="13.8">
      <c r="A305" t="s">
        <v>477</v>
      </c>
      <c r="B305" s="21">
        <v>45876</v>
      </c>
      <c r="C305" t="s">
        <v>67</v>
      </c>
      <c r="D305" t="s">
        <v>23</v>
      </c>
      <c r="E305" t="s">
        <v>153</v>
      </c>
      <c r="F305" t="s">
        <v>32</v>
      </c>
      <c r="G305" t="s">
        <v>19</v>
      </c>
      <c r="H305" t="s">
        <v>37</v>
      </c>
      <c r="I305">
        <v>10</v>
      </c>
      <c r="J305">
        <v>1153.75</v>
      </c>
      <c r="K305">
        <v>0.02</v>
      </c>
      <c r="L305">
        <v>11306.75</v>
      </c>
      <c r="M305">
        <v>8184.4</v>
      </c>
      <c r="N305">
        <v>12439.7</v>
      </c>
      <c r="O305" s="3">
        <f>_xlfn.XLOOKUP(SalesData[[#This Row],[Product]],ProductLookup[Product],ProductLookup[Standard_Price],"Not Found")</f>
        <v>1100</v>
      </c>
      <c r="P305" s="3">
        <f>SalesData[[#This Row],[Revenue]]-SalesData[[#This Row],[Cost]]</f>
        <v>3122.3500000000004</v>
      </c>
      <c r="Q305" s="5">
        <f>IFERROR(SalesData[[#This Row],[Profit]]/SalesData[[#This Row],[Revenue]],0)</f>
        <v>0.2761492029097663</v>
      </c>
      <c r="R305" s="3">
        <f>SalesData[[#This Row],[Revenue]]-SalesData[[#This Row],[Target]]</f>
        <v>-1132.9500000000007</v>
      </c>
      <c r="S305" s="3" t="str">
        <f t="shared" si="4"/>
        <v>Below Target</v>
      </c>
    </row>
    <row r="306" spans="1:19" ht="13.8">
      <c r="A306" t="s">
        <v>478</v>
      </c>
      <c r="B306" s="21">
        <v>46006</v>
      </c>
      <c r="C306" t="s">
        <v>67</v>
      </c>
      <c r="D306" t="s">
        <v>82</v>
      </c>
      <c r="E306" t="s">
        <v>170</v>
      </c>
      <c r="F306" t="s">
        <v>18</v>
      </c>
      <c r="G306" t="s">
        <v>19</v>
      </c>
      <c r="H306" t="s">
        <v>20</v>
      </c>
      <c r="I306">
        <v>14</v>
      </c>
      <c r="J306">
        <v>829.23</v>
      </c>
      <c r="K306">
        <v>0.02</v>
      </c>
      <c r="L306">
        <v>11377.04</v>
      </c>
      <c r="M306">
        <v>7759.86</v>
      </c>
      <c r="N306">
        <v>12024.85</v>
      </c>
      <c r="O306" s="3">
        <f>_xlfn.XLOOKUP(SalesData[[#This Row],[Product]],ProductLookup[Product],ProductLookup[Standard_Price],"Not Found")</f>
        <v>850</v>
      </c>
      <c r="P306" s="3">
        <f>SalesData[[#This Row],[Revenue]]-SalesData[[#This Row],[Cost]]</f>
        <v>3617.1800000000012</v>
      </c>
      <c r="Q306" s="5">
        <f>IFERROR(SalesData[[#This Row],[Profit]]/SalesData[[#This Row],[Revenue]],0)</f>
        <v>0.3179368271536358</v>
      </c>
      <c r="R306" s="3">
        <f>SalesData[[#This Row],[Revenue]]-SalesData[[#This Row],[Target]]</f>
        <v>-647.80999999999949</v>
      </c>
      <c r="S306" s="3" t="str">
        <f t="shared" si="4"/>
        <v>Below Target</v>
      </c>
    </row>
    <row r="307" spans="1:19" ht="27.6">
      <c r="A307" t="s">
        <v>479</v>
      </c>
      <c r="B307" s="21">
        <v>45967</v>
      </c>
      <c r="C307" t="s">
        <v>29</v>
      </c>
      <c r="D307" t="s">
        <v>30</v>
      </c>
      <c r="E307" t="s">
        <v>215</v>
      </c>
      <c r="F307" t="s">
        <v>25</v>
      </c>
      <c r="G307" t="s">
        <v>26</v>
      </c>
      <c r="H307" t="s">
        <v>40</v>
      </c>
      <c r="I307">
        <v>2</v>
      </c>
      <c r="J307">
        <v>443.51</v>
      </c>
      <c r="K307">
        <v>0.03</v>
      </c>
      <c r="L307">
        <v>860.41</v>
      </c>
      <c r="M307">
        <v>668.25</v>
      </c>
      <c r="N307">
        <v>780.49</v>
      </c>
      <c r="O307" s="3">
        <f>_xlfn.XLOOKUP(SalesData[[#This Row],[Product]],ProductLookup[Product],ProductLookup[Standard_Price],"Not Found")</f>
        <v>450</v>
      </c>
      <c r="P307" s="3">
        <f>SalesData[[#This Row],[Revenue]]-SalesData[[#This Row],[Cost]]</f>
        <v>192.15999999999997</v>
      </c>
      <c r="Q307" s="5">
        <f>IFERROR(SalesData[[#This Row],[Profit]]/SalesData[[#This Row],[Revenue]],0)</f>
        <v>0.22333538661800767</v>
      </c>
      <c r="R307" s="3">
        <f>SalesData[[#This Row],[Revenue]]-SalesData[[#This Row],[Target]]</f>
        <v>79.919999999999959</v>
      </c>
      <c r="S307" s="3" t="str">
        <f t="shared" si="4"/>
        <v>Above Target</v>
      </c>
    </row>
    <row r="308" spans="1:19" ht="13.8">
      <c r="A308" t="s">
        <v>480</v>
      </c>
      <c r="B308" s="21">
        <v>46013</v>
      </c>
      <c r="C308" t="s">
        <v>22</v>
      </c>
      <c r="D308" t="s">
        <v>16</v>
      </c>
      <c r="E308" t="s">
        <v>481</v>
      </c>
      <c r="F308" t="s">
        <v>32</v>
      </c>
      <c r="G308" t="s">
        <v>33</v>
      </c>
      <c r="H308" t="s">
        <v>41</v>
      </c>
      <c r="I308">
        <v>1</v>
      </c>
      <c r="J308">
        <v>87.87</v>
      </c>
      <c r="K308">
        <v>0.08</v>
      </c>
      <c r="L308">
        <v>80.84</v>
      </c>
      <c r="M308">
        <v>56.33</v>
      </c>
      <c r="N308">
        <v>86.49</v>
      </c>
      <c r="O308" s="3">
        <f>_xlfn.XLOOKUP(SalesData[[#This Row],[Product]],ProductLookup[Product],ProductLookup[Standard_Price],"Not Found")</f>
        <v>85</v>
      </c>
      <c r="P308" s="3">
        <f>SalesData[[#This Row],[Revenue]]-SalesData[[#This Row],[Cost]]</f>
        <v>24.510000000000005</v>
      </c>
      <c r="Q308" s="5">
        <f>IFERROR(SalesData[[#This Row],[Profit]]/SalesData[[#This Row],[Revenue]],0)</f>
        <v>0.3031914893617022</v>
      </c>
      <c r="R308" s="3">
        <f>SalesData[[#This Row],[Revenue]]-SalesData[[#This Row],[Target]]</f>
        <v>-5.6499999999999915</v>
      </c>
      <c r="S308" s="3" t="str">
        <f t="shared" si="4"/>
        <v>Below Target</v>
      </c>
    </row>
    <row r="309" spans="1:19" ht="13.8">
      <c r="A309" t="s">
        <v>482</v>
      </c>
      <c r="B309" s="21">
        <v>45752</v>
      </c>
      <c r="C309" t="s">
        <v>67</v>
      </c>
      <c r="D309" t="s">
        <v>64</v>
      </c>
      <c r="E309" t="s">
        <v>80</v>
      </c>
      <c r="F309" t="s">
        <v>32</v>
      </c>
      <c r="G309" t="s">
        <v>19</v>
      </c>
      <c r="H309" t="s">
        <v>38</v>
      </c>
      <c r="I309">
        <v>9</v>
      </c>
      <c r="J309">
        <v>990.95</v>
      </c>
      <c r="K309">
        <v>0.1</v>
      </c>
      <c r="L309">
        <v>8026.7</v>
      </c>
      <c r="M309">
        <v>5998.39</v>
      </c>
      <c r="N309">
        <v>8674.3700000000008</v>
      </c>
      <c r="O309" s="3">
        <f>_xlfn.XLOOKUP(SalesData[[#This Row],[Product]],ProductLookup[Product],ProductLookup[Standard_Price],"Not Found")</f>
        <v>950</v>
      </c>
      <c r="P309" s="3">
        <f>SalesData[[#This Row],[Revenue]]-SalesData[[#This Row],[Cost]]</f>
        <v>2028.3099999999995</v>
      </c>
      <c r="Q309" s="5">
        <f>IFERROR(SalesData[[#This Row],[Profit]]/SalesData[[#This Row],[Revenue]],0)</f>
        <v>0.25269537917201335</v>
      </c>
      <c r="R309" s="3">
        <f>SalesData[[#This Row],[Revenue]]-SalesData[[#This Row],[Target]]</f>
        <v>-647.67000000000098</v>
      </c>
      <c r="S309" s="3" t="str">
        <f t="shared" si="4"/>
        <v>Below Target</v>
      </c>
    </row>
    <row r="310" spans="1:19" ht="27.6">
      <c r="A310" t="s">
        <v>483</v>
      </c>
      <c r="B310" s="21">
        <v>45885</v>
      </c>
      <c r="C310" t="s">
        <v>15</v>
      </c>
      <c r="D310" t="s">
        <v>16</v>
      </c>
      <c r="E310" t="s">
        <v>481</v>
      </c>
      <c r="F310" t="s">
        <v>25</v>
      </c>
      <c r="G310" t="s">
        <v>19</v>
      </c>
      <c r="H310" t="s">
        <v>20</v>
      </c>
      <c r="I310">
        <v>1</v>
      </c>
      <c r="J310">
        <v>836.6</v>
      </c>
      <c r="K310">
        <v>0.02</v>
      </c>
      <c r="L310">
        <v>819.87</v>
      </c>
      <c r="M310">
        <v>579.79</v>
      </c>
      <c r="N310">
        <v>816.72</v>
      </c>
      <c r="O310" s="3">
        <f>_xlfn.XLOOKUP(SalesData[[#This Row],[Product]],ProductLookup[Product],ProductLookup[Standard_Price],"Not Found")</f>
        <v>850</v>
      </c>
      <c r="P310" s="3">
        <f>SalesData[[#This Row],[Revenue]]-SalesData[[#This Row],[Cost]]</f>
        <v>240.08000000000004</v>
      </c>
      <c r="Q310" s="5">
        <f>IFERROR(SalesData[[#This Row],[Profit]]/SalesData[[#This Row],[Revenue]],0)</f>
        <v>0.29282691158354379</v>
      </c>
      <c r="R310" s="3">
        <f>SalesData[[#This Row],[Revenue]]-SalesData[[#This Row],[Target]]</f>
        <v>3.1499999999999773</v>
      </c>
      <c r="S310" s="3" t="str">
        <f t="shared" si="4"/>
        <v>Above Target</v>
      </c>
    </row>
    <row r="311" spans="1:19" ht="13.8">
      <c r="A311" t="s">
        <v>484</v>
      </c>
      <c r="B311" s="21">
        <v>45975</v>
      </c>
      <c r="C311" t="s">
        <v>22</v>
      </c>
      <c r="D311" t="s">
        <v>68</v>
      </c>
      <c r="E311" t="s">
        <v>363</v>
      </c>
      <c r="F311" t="s">
        <v>18</v>
      </c>
      <c r="G311" t="s">
        <v>45</v>
      </c>
      <c r="H311" t="s">
        <v>44</v>
      </c>
      <c r="I311">
        <v>11</v>
      </c>
      <c r="J311">
        <v>262.60000000000002</v>
      </c>
      <c r="K311">
        <v>0.05</v>
      </c>
      <c r="L311">
        <v>2744.17</v>
      </c>
      <c r="M311">
        <v>2230.62</v>
      </c>
      <c r="N311">
        <v>2871.23</v>
      </c>
      <c r="O311" s="3">
        <f>_xlfn.XLOOKUP(SalesData[[#This Row],[Product]],ProductLookup[Product],ProductLookup[Standard_Price],"Not Found")</f>
        <v>260</v>
      </c>
      <c r="P311" s="3">
        <f>SalesData[[#This Row],[Revenue]]-SalesData[[#This Row],[Cost]]</f>
        <v>513.55000000000018</v>
      </c>
      <c r="Q311" s="5">
        <f>IFERROR(SalesData[[#This Row],[Profit]]/SalesData[[#This Row],[Revenue]],0)</f>
        <v>0.18714219600097667</v>
      </c>
      <c r="R311" s="3">
        <f>SalesData[[#This Row],[Revenue]]-SalesData[[#This Row],[Target]]</f>
        <v>-127.05999999999995</v>
      </c>
      <c r="S311" s="3" t="str">
        <f t="shared" si="4"/>
        <v>Below Target</v>
      </c>
    </row>
    <row r="312" spans="1:19" ht="27.6">
      <c r="A312" t="s">
        <v>485</v>
      </c>
      <c r="B312" s="21">
        <v>45842</v>
      </c>
      <c r="C312" t="s">
        <v>29</v>
      </c>
      <c r="D312" t="s">
        <v>30</v>
      </c>
      <c r="E312" t="s">
        <v>303</v>
      </c>
      <c r="F312" t="s">
        <v>74</v>
      </c>
      <c r="G312" t="s">
        <v>26</v>
      </c>
      <c r="H312" t="s">
        <v>40</v>
      </c>
      <c r="I312">
        <v>9</v>
      </c>
      <c r="J312">
        <v>437.23</v>
      </c>
      <c r="K312">
        <v>0.02</v>
      </c>
      <c r="L312">
        <v>3856.37</v>
      </c>
      <c r="M312">
        <v>2813.72</v>
      </c>
      <c r="N312">
        <v>3434.01</v>
      </c>
      <c r="O312" s="3">
        <f>_xlfn.XLOOKUP(SalesData[[#This Row],[Product]],ProductLookup[Product],ProductLookup[Standard_Price],"Not Found")</f>
        <v>450</v>
      </c>
      <c r="P312" s="3">
        <f>SalesData[[#This Row],[Revenue]]-SalesData[[#This Row],[Cost]]</f>
        <v>1042.6500000000001</v>
      </c>
      <c r="Q312" s="5">
        <f>IFERROR(SalesData[[#This Row],[Profit]]/SalesData[[#This Row],[Revenue]],0)</f>
        <v>0.27037084097220965</v>
      </c>
      <c r="R312" s="3">
        <f>SalesData[[#This Row],[Revenue]]-SalesData[[#This Row],[Target]]</f>
        <v>422.35999999999967</v>
      </c>
      <c r="S312" s="3" t="str">
        <f t="shared" si="4"/>
        <v>Above Target</v>
      </c>
    </row>
    <row r="313" spans="1:19" ht="27.6">
      <c r="A313" t="s">
        <v>486</v>
      </c>
      <c r="B313" s="21">
        <v>45827</v>
      </c>
      <c r="C313" t="s">
        <v>22</v>
      </c>
      <c r="D313" t="s">
        <v>30</v>
      </c>
      <c r="E313" t="s">
        <v>363</v>
      </c>
      <c r="F313" t="s">
        <v>18</v>
      </c>
      <c r="G313" t="s">
        <v>33</v>
      </c>
      <c r="H313" t="s">
        <v>43</v>
      </c>
      <c r="I313">
        <v>8</v>
      </c>
      <c r="J313">
        <v>74.16</v>
      </c>
      <c r="K313">
        <v>0.03</v>
      </c>
      <c r="L313">
        <v>575.48</v>
      </c>
      <c r="M313">
        <v>385.09</v>
      </c>
      <c r="N313">
        <v>552.76</v>
      </c>
      <c r="O313" s="3">
        <f>_xlfn.XLOOKUP(SalesData[[#This Row],[Product]],ProductLookup[Product],ProductLookup[Standard_Price],"Not Found")</f>
        <v>75</v>
      </c>
      <c r="P313" s="3">
        <f>SalesData[[#This Row],[Revenue]]-SalesData[[#This Row],[Cost]]</f>
        <v>190.39000000000004</v>
      </c>
      <c r="Q313" s="5">
        <f>IFERROR(SalesData[[#This Row],[Profit]]/SalesData[[#This Row],[Revenue]],0)</f>
        <v>0.33083686661569478</v>
      </c>
      <c r="R313" s="3">
        <f>SalesData[[#This Row],[Revenue]]-SalesData[[#This Row],[Target]]</f>
        <v>22.720000000000027</v>
      </c>
      <c r="S313" s="3" t="str">
        <f t="shared" si="4"/>
        <v>Above Target</v>
      </c>
    </row>
    <row r="314" spans="1:19" ht="13.8">
      <c r="A314" t="s">
        <v>487</v>
      </c>
      <c r="B314" s="21">
        <v>45785</v>
      </c>
      <c r="C314" t="s">
        <v>29</v>
      </c>
      <c r="D314" t="s">
        <v>30</v>
      </c>
      <c r="E314" t="s">
        <v>85</v>
      </c>
      <c r="F314" t="s">
        <v>32</v>
      </c>
      <c r="G314" t="s">
        <v>33</v>
      </c>
      <c r="H314" t="s">
        <v>41</v>
      </c>
      <c r="I314">
        <v>15</v>
      </c>
      <c r="J314">
        <v>89.13</v>
      </c>
      <c r="K314">
        <v>0</v>
      </c>
      <c r="L314">
        <v>1336.95</v>
      </c>
      <c r="M314">
        <v>987.73</v>
      </c>
      <c r="N314">
        <v>1409.78</v>
      </c>
      <c r="O314" s="3">
        <f>_xlfn.XLOOKUP(SalesData[[#This Row],[Product]],ProductLookup[Product],ProductLookup[Standard_Price],"Not Found")</f>
        <v>85</v>
      </c>
      <c r="P314" s="3">
        <f>SalesData[[#This Row],[Revenue]]-SalesData[[#This Row],[Cost]]</f>
        <v>349.22</v>
      </c>
      <c r="Q314" s="5">
        <f>IFERROR(SalesData[[#This Row],[Profit]]/SalesData[[#This Row],[Revenue]],0)</f>
        <v>0.26120647742997122</v>
      </c>
      <c r="R314" s="3">
        <f>SalesData[[#This Row],[Revenue]]-SalesData[[#This Row],[Target]]</f>
        <v>-72.829999999999927</v>
      </c>
      <c r="S314" s="3" t="str">
        <f t="shared" si="4"/>
        <v>Below Target</v>
      </c>
    </row>
    <row r="315" spans="1:19" ht="13.8">
      <c r="A315" t="s">
        <v>488</v>
      </c>
      <c r="B315" s="21">
        <v>45690</v>
      </c>
      <c r="C315" t="s">
        <v>15</v>
      </c>
      <c r="D315" t="s">
        <v>64</v>
      </c>
      <c r="E315" t="s">
        <v>94</v>
      </c>
      <c r="F315" t="s">
        <v>18</v>
      </c>
      <c r="G315" t="s">
        <v>33</v>
      </c>
      <c r="H315" t="s">
        <v>42</v>
      </c>
      <c r="I315">
        <v>5</v>
      </c>
      <c r="J315">
        <v>59.14</v>
      </c>
      <c r="K315">
        <v>0.08</v>
      </c>
      <c r="L315">
        <v>272.04000000000002</v>
      </c>
      <c r="M315">
        <v>194.83</v>
      </c>
      <c r="N315">
        <v>301.87</v>
      </c>
      <c r="O315" s="3">
        <f>_xlfn.XLOOKUP(SalesData[[#This Row],[Product]],ProductLookup[Product],ProductLookup[Standard_Price],"Not Found")</f>
        <v>60</v>
      </c>
      <c r="P315" s="3">
        <f>SalesData[[#This Row],[Revenue]]-SalesData[[#This Row],[Cost]]</f>
        <v>77.210000000000008</v>
      </c>
      <c r="Q315" s="5">
        <f>IFERROR(SalesData[[#This Row],[Profit]]/SalesData[[#This Row],[Revenue]],0)</f>
        <v>0.28381855609469198</v>
      </c>
      <c r="R315" s="3">
        <f>SalesData[[#This Row],[Revenue]]-SalesData[[#This Row],[Target]]</f>
        <v>-29.829999999999984</v>
      </c>
      <c r="S315" s="3" t="str">
        <f t="shared" si="4"/>
        <v>Below Target</v>
      </c>
    </row>
    <row r="316" spans="1:19" ht="13.8">
      <c r="A316" t="s">
        <v>489</v>
      </c>
      <c r="B316" s="21">
        <v>45760</v>
      </c>
      <c r="C316" t="s">
        <v>29</v>
      </c>
      <c r="D316" t="s">
        <v>23</v>
      </c>
      <c r="E316" t="s">
        <v>352</v>
      </c>
      <c r="F316" t="s">
        <v>18</v>
      </c>
      <c r="G316" t="s">
        <v>45</v>
      </c>
      <c r="H316" t="s">
        <v>47</v>
      </c>
      <c r="I316">
        <v>7</v>
      </c>
      <c r="J316">
        <v>425.59</v>
      </c>
      <c r="K316">
        <v>0.1</v>
      </c>
      <c r="L316">
        <v>2681.22</v>
      </c>
      <c r="M316">
        <v>1667.12</v>
      </c>
      <c r="N316">
        <v>2869.06</v>
      </c>
      <c r="O316" s="3">
        <f>_xlfn.XLOOKUP(SalesData[[#This Row],[Product]],ProductLookup[Product],ProductLookup[Standard_Price],"Not Found")</f>
        <v>420</v>
      </c>
      <c r="P316" s="3">
        <f>SalesData[[#This Row],[Revenue]]-SalesData[[#This Row],[Cost]]</f>
        <v>1014.0999999999999</v>
      </c>
      <c r="Q316" s="5">
        <f>IFERROR(SalesData[[#This Row],[Profit]]/SalesData[[#This Row],[Revenue]],0)</f>
        <v>0.37822334608872082</v>
      </c>
      <c r="R316" s="3">
        <f>SalesData[[#This Row],[Revenue]]-SalesData[[#This Row],[Target]]</f>
        <v>-187.84000000000015</v>
      </c>
      <c r="S316" s="3" t="str">
        <f t="shared" si="4"/>
        <v>Below Target</v>
      </c>
    </row>
    <row r="317" spans="1:19" ht="27.6">
      <c r="A317" t="s">
        <v>490</v>
      </c>
      <c r="B317" s="21">
        <v>45813</v>
      </c>
      <c r="C317" t="s">
        <v>22</v>
      </c>
      <c r="D317" t="s">
        <v>30</v>
      </c>
      <c r="E317" t="s">
        <v>277</v>
      </c>
      <c r="F317" t="s">
        <v>32</v>
      </c>
      <c r="G317" t="s">
        <v>45</v>
      </c>
      <c r="H317" t="s">
        <v>47</v>
      </c>
      <c r="I317">
        <v>6</v>
      </c>
      <c r="J317">
        <v>430.06</v>
      </c>
      <c r="K317">
        <v>0.08</v>
      </c>
      <c r="L317">
        <v>2373.9299999999998</v>
      </c>
      <c r="M317">
        <v>1869.96</v>
      </c>
      <c r="N317">
        <v>2228.7600000000002</v>
      </c>
      <c r="O317" s="3">
        <f>_xlfn.XLOOKUP(SalesData[[#This Row],[Product]],ProductLookup[Product],ProductLookup[Standard_Price],"Not Found")</f>
        <v>420</v>
      </c>
      <c r="P317" s="3">
        <f>SalesData[[#This Row],[Revenue]]-SalesData[[#This Row],[Cost]]</f>
        <v>503.9699999999998</v>
      </c>
      <c r="Q317" s="5">
        <f>IFERROR(SalesData[[#This Row],[Profit]]/SalesData[[#This Row],[Revenue]],0)</f>
        <v>0.21229353856263658</v>
      </c>
      <c r="R317" s="3">
        <f>SalesData[[#This Row],[Revenue]]-SalesData[[#This Row],[Target]]</f>
        <v>145.16999999999962</v>
      </c>
      <c r="S317" s="3" t="str">
        <f t="shared" si="4"/>
        <v>Above Target</v>
      </c>
    </row>
    <row r="318" spans="1:19" ht="13.8">
      <c r="A318" t="s">
        <v>491</v>
      </c>
      <c r="B318" s="21">
        <v>46001</v>
      </c>
      <c r="C318" t="s">
        <v>29</v>
      </c>
      <c r="D318" t="s">
        <v>30</v>
      </c>
      <c r="E318" t="s">
        <v>492</v>
      </c>
      <c r="F318" t="s">
        <v>25</v>
      </c>
      <c r="G318" t="s">
        <v>26</v>
      </c>
      <c r="H318" t="s">
        <v>40</v>
      </c>
      <c r="I318">
        <v>15</v>
      </c>
      <c r="J318">
        <v>471.98</v>
      </c>
      <c r="K318">
        <v>0.05</v>
      </c>
      <c r="L318">
        <v>6725.72</v>
      </c>
      <c r="M318">
        <v>4780.79</v>
      </c>
      <c r="N318">
        <v>7362.03</v>
      </c>
      <c r="O318" s="3">
        <f>_xlfn.XLOOKUP(SalesData[[#This Row],[Product]],ProductLookup[Product],ProductLookup[Standard_Price],"Not Found")</f>
        <v>450</v>
      </c>
      <c r="P318" s="3">
        <f>SalesData[[#This Row],[Revenue]]-SalesData[[#This Row],[Cost]]</f>
        <v>1944.9300000000003</v>
      </c>
      <c r="Q318" s="5">
        <f>IFERROR(SalesData[[#This Row],[Profit]]/SalesData[[#This Row],[Revenue]],0)</f>
        <v>0.28917796161600545</v>
      </c>
      <c r="R318" s="3">
        <f>SalesData[[#This Row],[Revenue]]-SalesData[[#This Row],[Target]]</f>
        <v>-636.30999999999949</v>
      </c>
      <c r="S318" s="3" t="str">
        <f t="shared" si="4"/>
        <v>Below Target</v>
      </c>
    </row>
    <row r="319" spans="1:19" ht="27.6">
      <c r="A319" t="s">
        <v>493</v>
      </c>
      <c r="B319" s="21">
        <v>45763</v>
      </c>
      <c r="C319" t="s">
        <v>67</v>
      </c>
      <c r="D319" t="s">
        <v>23</v>
      </c>
      <c r="E319" t="s">
        <v>494</v>
      </c>
      <c r="F319" t="s">
        <v>18</v>
      </c>
      <c r="G319" t="s">
        <v>19</v>
      </c>
      <c r="H319" t="s">
        <v>20</v>
      </c>
      <c r="I319">
        <v>15</v>
      </c>
      <c r="J319">
        <v>881.53</v>
      </c>
      <c r="K319">
        <v>0.05</v>
      </c>
      <c r="L319">
        <v>12561.8</v>
      </c>
      <c r="M319">
        <v>8656.2900000000009</v>
      </c>
      <c r="N319">
        <v>12248.48</v>
      </c>
      <c r="O319" s="3">
        <f>_xlfn.XLOOKUP(SalesData[[#This Row],[Product]],ProductLookup[Product],ProductLookup[Standard_Price],"Not Found")</f>
        <v>850</v>
      </c>
      <c r="P319" s="3">
        <f>SalesData[[#This Row],[Revenue]]-SalesData[[#This Row],[Cost]]</f>
        <v>3905.5099999999984</v>
      </c>
      <c r="Q319" s="5">
        <f>IFERROR(SalesData[[#This Row],[Profit]]/SalesData[[#This Row],[Revenue]],0)</f>
        <v>0.31090369214602992</v>
      </c>
      <c r="R319" s="3">
        <f>SalesData[[#This Row],[Revenue]]-SalesData[[#This Row],[Target]]</f>
        <v>313.31999999999971</v>
      </c>
      <c r="S319" s="3" t="str">
        <f t="shared" si="4"/>
        <v>Above Target</v>
      </c>
    </row>
    <row r="320" spans="1:19" ht="13.8">
      <c r="A320" t="s">
        <v>495</v>
      </c>
      <c r="B320" s="21">
        <v>45731</v>
      </c>
      <c r="C320" t="s">
        <v>67</v>
      </c>
      <c r="D320" t="s">
        <v>16</v>
      </c>
      <c r="E320" t="s">
        <v>137</v>
      </c>
      <c r="F320" t="s">
        <v>25</v>
      </c>
      <c r="G320" t="s">
        <v>26</v>
      </c>
      <c r="H320" t="s">
        <v>27</v>
      </c>
      <c r="I320">
        <v>12</v>
      </c>
      <c r="J320">
        <v>313.87</v>
      </c>
      <c r="K320">
        <v>0.1</v>
      </c>
      <c r="L320">
        <v>3389.8</v>
      </c>
      <c r="M320">
        <v>2460.38</v>
      </c>
      <c r="N320">
        <v>3519.04</v>
      </c>
      <c r="O320" s="3">
        <f>_xlfn.XLOOKUP(SalesData[[#This Row],[Product]],ProductLookup[Product],ProductLookup[Standard_Price],"Not Found")</f>
        <v>320</v>
      </c>
      <c r="P320" s="3">
        <f>SalesData[[#This Row],[Revenue]]-SalesData[[#This Row],[Cost]]</f>
        <v>929.42000000000007</v>
      </c>
      <c r="Q320" s="5">
        <f>IFERROR(SalesData[[#This Row],[Profit]]/SalesData[[#This Row],[Revenue]],0)</f>
        <v>0.27418136763230871</v>
      </c>
      <c r="R320" s="3">
        <f>SalesData[[#This Row],[Revenue]]-SalesData[[#This Row],[Target]]</f>
        <v>-129.23999999999978</v>
      </c>
      <c r="S320" s="3" t="str">
        <f t="shared" si="4"/>
        <v>Below Target</v>
      </c>
    </row>
    <row r="321" spans="1:19" ht="27.6">
      <c r="A321" t="s">
        <v>496</v>
      </c>
      <c r="B321" s="21">
        <v>45956</v>
      </c>
      <c r="C321" t="s">
        <v>22</v>
      </c>
      <c r="D321" t="s">
        <v>82</v>
      </c>
      <c r="E321" t="s">
        <v>186</v>
      </c>
      <c r="F321" t="s">
        <v>18</v>
      </c>
      <c r="G321" t="s">
        <v>19</v>
      </c>
      <c r="H321" t="s">
        <v>37</v>
      </c>
      <c r="I321">
        <v>10</v>
      </c>
      <c r="J321">
        <v>1064.6600000000001</v>
      </c>
      <c r="K321">
        <v>0.08</v>
      </c>
      <c r="L321">
        <v>9794.8700000000008</v>
      </c>
      <c r="M321">
        <v>6638.65</v>
      </c>
      <c r="N321">
        <v>9719.35</v>
      </c>
      <c r="O321" s="3">
        <f>_xlfn.XLOOKUP(SalesData[[#This Row],[Product]],ProductLookup[Product],ProductLookup[Standard_Price],"Not Found")</f>
        <v>1100</v>
      </c>
      <c r="P321" s="3">
        <f>SalesData[[#This Row],[Revenue]]-SalesData[[#This Row],[Cost]]</f>
        <v>3156.2200000000012</v>
      </c>
      <c r="Q321" s="5">
        <f>IFERROR(SalesData[[#This Row],[Profit]]/SalesData[[#This Row],[Revenue]],0)</f>
        <v>0.32223194386449244</v>
      </c>
      <c r="R321" s="3">
        <f>SalesData[[#This Row],[Revenue]]-SalesData[[#This Row],[Target]]</f>
        <v>75.520000000000437</v>
      </c>
      <c r="S321" s="3" t="str">
        <f t="shared" si="4"/>
        <v>Above Target</v>
      </c>
    </row>
    <row r="322" spans="1:19" ht="13.8">
      <c r="A322" t="s">
        <v>497</v>
      </c>
      <c r="B322" s="21">
        <v>45906</v>
      </c>
      <c r="C322" t="s">
        <v>67</v>
      </c>
      <c r="D322" t="s">
        <v>23</v>
      </c>
      <c r="E322" t="s">
        <v>322</v>
      </c>
      <c r="F322" t="s">
        <v>18</v>
      </c>
      <c r="G322" t="s">
        <v>26</v>
      </c>
      <c r="H322" t="s">
        <v>40</v>
      </c>
      <c r="I322">
        <v>15</v>
      </c>
      <c r="J322">
        <v>435.39</v>
      </c>
      <c r="K322">
        <v>0.03</v>
      </c>
      <c r="L322">
        <v>6334.92</v>
      </c>
      <c r="M322">
        <v>4562.58</v>
      </c>
      <c r="N322">
        <v>6727.93</v>
      </c>
      <c r="O322" s="3">
        <f>_xlfn.XLOOKUP(SalesData[[#This Row],[Product]],ProductLookup[Product],ProductLookup[Standard_Price],"Not Found")</f>
        <v>450</v>
      </c>
      <c r="P322" s="3">
        <f>SalesData[[#This Row],[Revenue]]-SalesData[[#This Row],[Cost]]</f>
        <v>1772.3400000000001</v>
      </c>
      <c r="Q322" s="5">
        <f>IFERROR(SalesData[[#This Row],[Profit]]/SalesData[[#This Row],[Revenue]],0)</f>
        <v>0.27977306737890928</v>
      </c>
      <c r="R322" s="3">
        <f>SalesData[[#This Row],[Revenue]]-SalesData[[#This Row],[Target]]</f>
        <v>-393.01000000000022</v>
      </c>
      <c r="S322" s="3" t="str">
        <f t="shared" ref="S322:S385" si="5">IF(R322&gt;=0,"Above Target","Below Target")</f>
        <v>Below Target</v>
      </c>
    </row>
    <row r="323" spans="1:19" ht="13.8">
      <c r="A323" t="s">
        <v>498</v>
      </c>
      <c r="B323" s="21">
        <v>45769</v>
      </c>
      <c r="C323" t="s">
        <v>15</v>
      </c>
      <c r="D323" t="s">
        <v>23</v>
      </c>
      <c r="E323" t="s">
        <v>256</v>
      </c>
      <c r="F323" t="s">
        <v>18</v>
      </c>
      <c r="G323" t="s">
        <v>19</v>
      </c>
      <c r="H323" t="s">
        <v>20</v>
      </c>
      <c r="I323">
        <v>7</v>
      </c>
      <c r="J323">
        <v>845.57</v>
      </c>
      <c r="K323">
        <v>0.08</v>
      </c>
      <c r="L323">
        <v>5445.47</v>
      </c>
      <c r="M323">
        <v>3605.88</v>
      </c>
      <c r="N323">
        <v>5447.97</v>
      </c>
      <c r="O323" s="3">
        <f>_xlfn.XLOOKUP(SalesData[[#This Row],[Product]],ProductLookup[Product],ProductLookup[Standard_Price],"Not Found")</f>
        <v>850</v>
      </c>
      <c r="P323" s="3">
        <f>SalesData[[#This Row],[Revenue]]-SalesData[[#This Row],[Cost]]</f>
        <v>1839.5900000000001</v>
      </c>
      <c r="Q323" s="5">
        <f>IFERROR(SalesData[[#This Row],[Profit]]/SalesData[[#This Row],[Revenue]],0)</f>
        <v>0.33782024324805759</v>
      </c>
      <c r="R323" s="3">
        <f>SalesData[[#This Row],[Revenue]]-SalesData[[#This Row],[Target]]</f>
        <v>-2.5</v>
      </c>
      <c r="S323" s="3" t="str">
        <f t="shared" si="5"/>
        <v>Below Target</v>
      </c>
    </row>
    <row r="324" spans="1:19" ht="27.6">
      <c r="A324" t="s">
        <v>499</v>
      </c>
      <c r="B324" s="21">
        <v>45724</v>
      </c>
      <c r="C324" t="s">
        <v>29</v>
      </c>
      <c r="D324" t="s">
        <v>30</v>
      </c>
      <c r="E324" t="s">
        <v>162</v>
      </c>
      <c r="F324" t="s">
        <v>18</v>
      </c>
      <c r="G324" t="s">
        <v>33</v>
      </c>
      <c r="H324" t="s">
        <v>43</v>
      </c>
      <c r="I324">
        <v>1</v>
      </c>
      <c r="J324">
        <v>71.84</v>
      </c>
      <c r="K324">
        <v>0.08</v>
      </c>
      <c r="L324">
        <v>66.09</v>
      </c>
      <c r="M324">
        <v>44.61</v>
      </c>
      <c r="N324">
        <v>60.33</v>
      </c>
      <c r="O324" s="3">
        <f>_xlfn.XLOOKUP(SalesData[[#This Row],[Product]],ProductLookup[Product],ProductLookup[Standard_Price],"Not Found")</f>
        <v>75</v>
      </c>
      <c r="P324" s="3">
        <f>SalesData[[#This Row],[Revenue]]-SalesData[[#This Row],[Cost]]</f>
        <v>21.480000000000004</v>
      </c>
      <c r="Q324" s="5">
        <f>IFERROR(SalesData[[#This Row],[Profit]]/SalesData[[#This Row],[Revenue]],0)</f>
        <v>0.32501134816159788</v>
      </c>
      <c r="R324" s="3">
        <f>SalesData[[#This Row],[Revenue]]-SalesData[[#This Row],[Target]]</f>
        <v>5.7600000000000051</v>
      </c>
      <c r="S324" s="3" t="str">
        <f t="shared" si="5"/>
        <v>Above Target</v>
      </c>
    </row>
    <row r="325" spans="1:19" ht="13.8">
      <c r="A325" t="s">
        <v>500</v>
      </c>
      <c r="B325" s="21">
        <v>45985</v>
      </c>
      <c r="C325" t="s">
        <v>22</v>
      </c>
      <c r="D325" t="s">
        <v>68</v>
      </c>
      <c r="E325" t="s">
        <v>260</v>
      </c>
      <c r="F325" t="s">
        <v>32</v>
      </c>
      <c r="G325" t="s">
        <v>26</v>
      </c>
      <c r="H325" t="s">
        <v>40</v>
      </c>
      <c r="I325">
        <v>15</v>
      </c>
      <c r="J325">
        <v>428.74</v>
      </c>
      <c r="K325">
        <v>0.03</v>
      </c>
      <c r="L325">
        <v>6238.17</v>
      </c>
      <c r="M325">
        <v>4191.33</v>
      </c>
      <c r="N325">
        <v>6611.45</v>
      </c>
      <c r="O325" s="3">
        <f>_xlfn.XLOOKUP(SalesData[[#This Row],[Product]],ProductLookup[Product],ProductLookup[Standard_Price],"Not Found")</f>
        <v>450</v>
      </c>
      <c r="P325" s="3">
        <f>SalesData[[#This Row],[Revenue]]-SalesData[[#This Row],[Cost]]</f>
        <v>2046.8400000000001</v>
      </c>
      <c r="Q325" s="5">
        <f>IFERROR(SalesData[[#This Row],[Profit]]/SalesData[[#This Row],[Revenue]],0)</f>
        <v>0.32811545693689015</v>
      </c>
      <c r="R325" s="3">
        <f>SalesData[[#This Row],[Revenue]]-SalesData[[#This Row],[Target]]</f>
        <v>-373.27999999999975</v>
      </c>
      <c r="S325" s="3" t="str">
        <f t="shared" si="5"/>
        <v>Below Target</v>
      </c>
    </row>
    <row r="326" spans="1:19" ht="13.8">
      <c r="A326" t="s">
        <v>501</v>
      </c>
      <c r="B326" s="21">
        <v>45747</v>
      </c>
      <c r="C326" t="s">
        <v>22</v>
      </c>
      <c r="D326" t="s">
        <v>64</v>
      </c>
      <c r="E326" t="s">
        <v>156</v>
      </c>
      <c r="F326" t="s">
        <v>32</v>
      </c>
      <c r="G326" t="s">
        <v>19</v>
      </c>
      <c r="H326" t="s">
        <v>20</v>
      </c>
      <c r="I326">
        <v>14</v>
      </c>
      <c r="J326">
        <v>842.71</v>
      </c>
      <c r="K326">
        <v>0</v>
      </c>
      <c r="L326">
        <v>11797.94</v>
      </c>
      <c r="M326">
        <v>7305.09</v>
      </c>
      <c r="N326">
        <v>12117.31</v>
      </c>
      <c r="O326" s="3">
        <f>_xlfn.XLOOKUP(SalesData[[#This Row],[Product]],ProductLookup[Product],ProductLookup[Standard_Price],"Not Found")</f>
        <v>850</v>
      </c>
      <c r="P326" s="3">
        <f>SalesData[[#This Row],[Revenue]]-SalesData[[#This Row],[Cost]]</f>
        <v>4492.8500000000004</v>
      </c>
      <c r="Q326" s="5">
        <f>IFERROR(SalesData[[#This Row],[Profit]]/SalesData[[#This Row],[Revenue]],0)</f>
        <v>0.38081648152135034</v>
      </c>
      <c r="R326" s="3">
        <f>SalesData[[#This Row],[Revenue]]-SalesData[[#This Row],[Target]]</f>
        <v>-319.36999999999898</v>
      </c>
      <c r="S326" s="3" t="str">
        <f t="shared" si="5"/>
        <v>Below Target</v>
      </c>
    </row>
    <row r="327" spans="1:19" ht="27.6">
      <c r="A327" t="s">
        <v>502</v>
      </c>
      <c r="B327" s="21">
        <v>45895</v>
      </c>
      <c r="C327" t="s">
        <v>22</v>
      </c>
      <c r="D327" t="s">
        <v>64</v>
      </c>
      <c r="E327" t="s">
        <v>322</v>
      </c>
      <c r="F327" t="s">
        <v>32</v>
      </c>
      <c r="G327" t="s">
        <v>19</v>
      </c>
      <c r="H327" t="s">
        <v>20</v>
      </c>
      <c r="I327">
        <v>1</v>
      </c>
      <c r="J327">
        <v>886.15</v>
      </c>
      <c r="K327">
        <v>0.08</v>
      </c>
      <c r="L327">
        <v>815.26</v>
      </c>
      <c r="M327">
        <v>606.47</v>
      </c>
      <c r="N327">
        <v>778.76</v>
      </c>
      <c r="O327" s="3">
        <f>_xlfn.XLOOKUP(SalesData[[#This Row],[Product]],ProductLookup[Product],ProductLookup[Standard_Price],"Not Found")</f>
        <v>850</v>
      </c>
      <c r="P327" s="3">
        <f>SalesData[[#This Row],[Revenue]]-SalesData[[#This Row],[Cost]]</f>
        <v>208.78999999999996</v>
      </c>
      <c r="Q327" s="5">
        <f>IFERROR(SalesData[[#This Row],[Profit]]/SalesData[[#This Row],[Revenue]],0)</f>
        <v>0.25610234771729262</v>
      </c>
      <c r="R327" s="3">
        <f>SalesData[[#This Row],[Revenue]]-SalesData[[#This Row],[Target]]</f>
        <v>36.5</v>
      </c>
      <c r="S327" s="3" t="str">
        <f t="shared" si="5"/>
        <v>Above Target</v>
      </c>
    </row>
    <row r="328" spans="1:19" ht="13.8">
      <c r="A328" t="s">
        <v>503</v>
      </c>
      <c r="B328" s="21">
        <v>45738</v>
      </c>
      <c r="C328" t="s">
        <v>67</v>
      </c>
      <c r="D328" t="s">
        <v>30</v>
      </c>
      <c r="E328" t="s">
        <v>368</v>
      </c>
      <c r="F328" t="s">
        <v>32</v>
      </c>
      <c r="G328" t="s">
        <v>19</v>
      </c>
      <c r="H328" t="s">
        <v>37</v>
      </c>
      <c r="I328">
        <v>1</v>
      </c>
      <c r="J328">
        <v>1062.18</v>
      </c>
      <c r="K328">
        <v>0.02</v>
      </c>
      <c r="L328">
        <v>1040.94</v>
      </c>
      <c r="M328">
        <v>745.82</v>
      </c>
      <c r="N328">
        <v>1126.03</v>
      </c>
      <c r="O328" s="3">
        <f>_xlfn.XLOOKUP(SalesData[[#This Row],[Product]],ProductLookup[Product],ProductLookup[Standard_Price],"Not Found")</f>
        <v>1100</v>
      </c>
      <c r="P328" s="3">
        <f>SalesData[[#This Row],[Revenue]]-SalesData[[#This Row],[Cost]]</f>
        <v>295.12</v>
      </c>
      <c r="Q328" s="5">
        <f>IFERROR(SalesData[[#This Row],[Profit]]/SalesData[[#This Row],[Revenue]],0)</f>
        <v>0.28351297865390895</v>
      </c>
      <c r="R328" s="3">
        <f>SalesData[[#This Row],[Revenue]]-SalesData[[#This Row],[Target]]</f>
        <v>-85.089999999999918</v>
      </c>
      <c r="S328" s="3" t="str">
        <f t="shared" si="5"/>
        <v>Below Target</v>
      </c>
    </row>
    <row r="329" spans="1:19" ht="13.8">
      <c r="A329" t="s">
        <v>504</v>
      </c>
      <c r="B329" s="21">
        <v>45933</v>
      </c>
      <c r="C329" t="s">
        <v>67</v>
      </c>
      <c r="D329" t="s">
        <v>23</v>
      </c>
      <c r="E329" t="s">
        <v>87</v>
      </c>
      <c r="F329" t="s">
        <v>32</v>
      </c>
      <c r="G329" t="s">
        <v>45</v>
      </c>
      <c r="H329" t="s">
        <v>44</v>
      </c>
      <c r="I329">
        <v>10</v>
      </c>
      <c r="J329">
        <v>269.51</v>
      </c>
      <c r="K329">
        <v>0.02</v>
      </c>
      <c r="L329">
        <v>2641.2</v>
      </c>
      <c r="M329">
        <v>1966.69</v>
      </c>
      <c r="N329">
        <v>2705.58</v>
      </c>
      <c r="O329" s="3">
        <f>_xlfn.XLOOKUP(SalesData[[#This Row],[Product]],ProductLookup[Product],ProductLookup[Standard_Price],"Not Found")</f>
        <v>260</v>
      </c>
      <c r="P329" s="3">
        <f>SalesData[[#This Row],[Revenue]]-SalesData[[#This Row],[Cost]]</f>
        <v>674.50999999999976</v>
      </c>
      <c r="Q329" s="5">
        <f>IFERROR(SalesData[[#This Row],[Profit]]/SalesData[[#This Row],[Revenue]],0)</f>
        <v>0.2553801302438285</v>
      </c>
      <c r="R329" s="3">
        <f>SalesData[[#This Row],[Revenue]]-SalesData[[#This Row],[Target]]</f>
        <v>-64.380000000000109</v>
      </c>
      <c r="S329" s="3" t="str">
        <f t="shared" si="5"/>
        <v>Below Target</v>
      </c>
    </row>
    <row r="330" spans="1:19" ht="13.8">
      <c r="A330" t="s">
        <v>505</v>
      </c>
      <c r="B330" s="21">
        <v>46022</v>
      </c>
      <c r="C330" t="s">
        <v>22</v>
      </c>
      <c r="D330" t="s">
        <v>64</v>
      </c>
      <c r="E330" t="s">
        <v>305</v>
      </c>
      <c r="F330" t="s">
        <v>32</v>
      </c>
      <c r="G330" t="s">
        <v>33</v>
      </c>
      <c r="H330" t="s">
        <v>41</v>
      </c>
      <c r="I330">
        <v>13</v>
      </c>
      <c r="J330">
        <v>81.02</v>
      </c>
      <c r="K330">
        <v>0.1</v>
      </c>
      <c r="L330">
        <v>947.93</v>
      </c>
      <c r="M330">
        <v>633.25</v>
      </c>
      <c r="N330">
        <v>1009.95</v>
      </c>
      <c r="O330" s="3">
        <f>_xlfn.XLOOKUP(SalesData[[#This Row],[Product]],ProductLookup[Product],ProductLookup[Standard_Price],"Not Found")</f>
        <v>85</v>
      </c>
      <c r="P330" s="3">
        <f>SalesData[[#This Row],[Revenue]]-SalesData[[#This Row],[Cost]]</f>
        <v>314.67999999999995</v>
      </c>
      <c r="Q330" s="5">
        <f>IFERROR(SalesData[[#This Row],[Profit]]/SalesData[[#This Row],[Revenue]],0)</f>
        <v>0.33196544048611182</v>
      </c>
      <c r="R330" s="3">
        <f>SalesData[[#This Row],[Revenue]]-SalesData[[#This Row],[Target]]</f>
        <v>-62.020000000000095</v>
      </c>
      <c r="S330" s="3" t="str">
        <f t="shared" si="5"/>
        <v>Below Target</v>
      </c>
    </row>
    <row r="331" spans="1:19" ht="27.6">
      <c r="A331" t="s">
        <v>506</v>
      </c>
      <c r="B331" s="21">
        <v>45925</v>
      </c>
      <c r="C331" t="s">
        <v>67</v>
      </c>
      <c r="D331" t="s">
        <v>23</v>
      </c>
      <c r="E331" t="s">
        <v>66</v>
      </c>
      <c r="F331" t="s">
        <v>25</v>
      </c>
      <c r="G331" t="s">
        <v>33</v>
      </c>
      <c r="H331" t="s">
        <v>42</v>
      </c>
      <c r="I331">
        <v>5</v>
      </c>
      <c r="J331">
        <v>57.79</v>
      </c>
      <c r="K331">
        <v>0</v>
      </c>
      <c r="L331">
        <v>288.95</v>
      </c>
      <c r="M331">
        <v>208.85</v>
      </c>
      <c r="N331">
        <v>261.2</v>
      </c>
      <c r="O331" s="3">
        <f>_xlfn.XLOOKUP(SalesData[[#This Row],[Product]],ProductLookup[Product],ProductLookup[Standard_Price],"Not Found")</f>
        <v>60</v>
      </c>
      <c r="P331" s="3">
        <f>SalesData[[#This Row],[Revenue]]-SalesData[[#This Row],[Cost]]</f>
        <v>80.099999999999994</v>
      </c>
      <c r="Q331" s="5">
        <f>IFERROR(SalesData[[#This Row],[Profit]]/SalesData[[#This Row],[Revenue]],0)</f>
        <v>0.27721059006748572</v>
      </c>
      <c r="R331" s="3">
        <f>SalesData[[#This Row],[Revenue]]-SalesData[[#This Row],[Target]]</f>
        <v>27.75</v>
      </c>
      <c r="S331" s="3" t="str">
        <f t="shared" si="5"/>
        <v>Above Target</v>
      </c>
    </row>
    <row r="332" spans="1:19" ht="27.6">
      <c r="A332" t="s">
        <v>507</v>
      </c>
      <c r="B332" s="21">
        <v>45863</v>
      </c>
      <c r="C332" t="s">
        <v>29</v>
      </c>
      <c r="D332" t="s">
        <v>64</v>
      </c>
      <c r="E332" t="s">
        <v>447</v>
      </c>
      <c r="F332" t="s">
        <v>25</v>
      </c>
      <c r="G332" t="s">
        <v>45</v>
      </c>
      <c r="H332" t="s">
        <v>47</v>
      </c>
      <c r="I332">
        <v>2</v>
      </c>
      <c r="J332">
        <v>438.35</v>
      </c>
      <c r="K332">
        <v>0.08</v>
      </c>
      <c r="L332">
        <v>806.56</v>
      </c>
      <c r="M332">
        <v>507.74</v>
      </c>
      <c r="N332">
        <v>721.42</v>
      </c>
      <c r="O332" s="3">
        <f>_xlfn.XLOOKUP(SalesData[[#This Row],[Product]],ProductLookup[Product],ProductLookup[Standard_Price],"Not Found")</f>
        <v>420</v>
      </c>
      <c r="P332" s="3">
        <f>SalesData[[#This Row],[Revenue]]-SalesData[[#This Row],[Cost]]</f>
        <v>298.81999999999994</v>
      </c>
      <c r="Q332" s="5">
        <f>IFERROR(SalesData[[#This Row],[Profit]]/SalesData[[#This Row],[Revenue]],0)</f>
        <v>0.37048700654632011</v>
      </c>
      <c r="R332" s="3">
        <f>SalesData[[#This Row],[Revenue]]-SalesData[[#This Row],[Target]]</f>
        <v>85.139999999999986</v>
      </c>
      <c r="S332" s="3" t="str">
        <f t="shared" si="5"/>
        <v>Above Target</v>
      </c>
    </row>
    <row r="333" spans="1:19" ht="13.8">
      <c r="A333" t="s">
        <v>508</v>
      </c>
      <c r="B333" s="21">
        <v>45790</v>
      </c>
      <c r="C333" t="s">
        <v>29</v>
      </c>
      <c r="D333" t="s">
        <v>64</v>
      </c>
      <c r="E333" t="s">
        <v>98</v>
      </c>
      <c r="F333" t="s">
        <v>32</v>
      </c>
      <c r="G333" t="s">
        <v>33</v>
      </c>
      <c r="H333" t="s">
        <v>43</v>
      </c>
      <c r="I333">
        <v>6</v>
      </c>
      <c r="J333">
        <v>76.78</v>
      </c>
      <c r="K333">
        <v>0.02</v>
      </c>
      <c r="L333">
        <v>451.47</v>
      </c>
      <c r="M333">
        <v>357.38</v>
      </c>
      <c r="N333">
        <v>490.01</v>
      </c>
      <c r="O333" s="3">
        <f>_xlfn.XLOOKUP(SalesData[[#This Row],[Product]],ProductLookup[Product],ProductLookup[Standard_Price],"Not Found")</f>
        <v>75</v>
      </c>
      <c r="P333" s="3">
        <f>SalesData[[#This Row],[Revenue]]-SalesData[[#This Row],[Cost]]</f>
        <v>94.090000000000032</v>
      </c>
      <c r="Q333" s="5">
        <f>IFERROR(SalesData[[#This Row],[Profit]]/SalesData[[#This Row],[Revenue]],0)</f>
        <v>0.20840808913106082</v>
      </c>
      <c r="R333" s="3">
        <f>SalesData[[#This Row],[Revenue]]-SalesData[[#This Row],[Target]]</f>
        <v>-38.539999999999964</v>
      </c>
      <c r="S333" s="3" t="str">
        <f t="shared" si="5"/>
        <v>Below Target</v>
      </c>
    </row>
    <row r="334" spans="1:19" ht="13.8">
      <c r="A334" t="s">
        <v>509</v>
      </c>
      <c r="B334" s="21">
        <v>46021</v>
      </c>
      <c r="C334" t="s">
        <v>22</v>
      </c>
      <c r="D334" t="s">
        <v>68</v>
      </c>
      <c r="E334" t="s">
        <v>65</v>
      </c>
      <c r="F334" t="s">
        <v>32</v>
      </c>
      <c r="G334" t="s">
        <v>26</v>
      </c>
      <c r="H334" t="s">
        <v>39</v>
      </c>
      <c r="I334">
        <v>8</v>
      </c>
      <c r="J334">
        <v>230.61</v>
      </c>
      <c r="K334">
        <v>0.05</v>
      </c>
      <c r="L334">
        <v>1752.64</v>
      </c>
      <c r="M334">
        <v>1133.76</v>
      </c>
      <c r="N334">
        <v>1926.09</v>
      </c>
      <c r="O334" s="3">
        <f>_xlfn.XLOOKUP(SalesData[[#This Row],[Product]],ProductLookup[Product],ProductLookup[Standard_Price],"Not Found")</f>
        <v>220</v>
      </c>
      <c r="P334" s="3">
        <f>SalesData[[#This Row],[Revenue]]-SalesData[[#This Row],[Cost]]</f>
        <v>618.88000000000011</v>
      </c>
      <c r="Q334" s="5">
        <f>IFERROR(SalesData[[#This Row],[Profit]]/SalesData[[#This Row],[Revenue]],0)</f>
        <v>0.35311301807558887</v>
      </c>
      <c r="R334" s="3">
        <f>SalesData[[#This Row],[Revenue]]-SalesData[[#This Row],[Target]]</f>
        <v>-173.44999999999982</v>
      </c>
      <c r="S334" s="3" t="str">
        <f t="shared" si="5"/>
        <v>Below Target</v>
      </c>
    </row>
    <row r="335" spans="1:19" ht="13.8">
      <c r="A335" t="s">
        <v>510</v>
      </c>
      <c r="B335" s="21">
        <v>45671</v>
      </c>
      <c r="C335" t="s">
        <v>67</v>
      </c>
      <c r="D335" t="s">
        <v>16</v>
      </c>
      <c r="E335" t="s">
        <v>363</v>
      </c>
      <c r="F335" t="s">
        <v>74</v>
      </c>
      <c r="G335" t="s">
        <v>19</v>
      </c>
      <c r="H335" t="s">
        <v>37</v>
      </c>
      <c r="I335">
        <v>11</v>
      </c>
      <c r="J335">
        <v>1125.67</v>
      </c>
      <c r="K335">
        <v>0</v>
      </c>
      <c r="L335">
        <v>12382.37</v>
      </c>
      <c r="M335">
        <v>9627.11</v>
      </c>
      <c r="N335">
        <v>13611.66</v>
      </c>
      <c r="O335" s="3">
        <f>_xlfn.XLOOKUP(SalesData[[#This Row],[Product]],ProductLookup[Product],ProductLookup[Standard_Price],"Not Found")</f>
        <v>1100</v>
      </c>
      <c r="P335" s="3">
        <f>SalesData[[#This Row],[Revenue]]-SalesData[[#This Row],[Cost]]</f>
        <v>2755.26</v>
      </c>
      <c r="Q335" s="5">
        <f>IFERROR(SalesData[[#This Row],[Profit]]/SalesData[[#This Row],[Revenue]],0)</f>
        <v>0.22251475283003172</v>
      </c>
      <c r="R335" s="3">
        <f>SalesData[[#This Row],[Revenue]]-SalesData[[#This Row],[Target]]</f>
        <v>-1229.2899999999991</v>
      </c>
      <c r="S335" s="3" t="str">
        <f t="shared" si="5"/>
        <v>Below Target</v>
      </c>
    </row>
    <row r="336" spans="1:19" ht="27.6">
      <c r="A336" t="s">
        <v>511</v>
      </c>
      <c r="B336" s="21">
        <v>45867</v>
      </c>
      <c r="C336" t="s">
        <v>22</v>
      </c>
      <c r="D336" t="s">
        <v>23</v>
      </c>
      <c r="E336" t="s">
        <v>363</v>
      </c>
      <c r="F336" t="s">
        <v>32</v>
      </c>
      <c r="G336" t="s">
        <v>33</v>
      </c>
      <c r="H336" t="s">
        <v>34</v>
      </c>
      <c r="I336">
        <v>11</v>
      </c>
      <c r="J336">
        <v>35.44</v>
      </c>
      <c r="K336">
        <v>0.02</v>
      </c>
      <c r="L336">
        <v>382.04</v>
      </c>
      <c r="M336">
        <v>231.8</v>
      </c>
      <c r="N336">
        <v>338.1</v>
      </c>
      <c r="O336" s="3">
        <f>_xlfn.XLOOKUP(SalesData[[#This Row],[Product]],ProductLookup[Product],ProductLookup[Standard_Price],"Not Found")</f>
        <v>35</v>
      </c>
      <c r="P336" s="3">
        <f>SalesData[[#This Row],[Revenue]]-SalesData[[#This Row],[Cost]]</f>
        <v>150.24</v>
      </c>
      <c r="Q336" s="5">
        <f>IFERROR(SalesData[[#This Row],[Profit]]/SalesData[[#This Row],[Revenue]],0)</f>
        <v>0.39325725054968064</v>
      </c>
      <c r="R336" s="3">
        <f>SalesData[[#This Row],[Revenue]]-SalesData[[#This Row],[Target]]</f>
        <v>43.94</v>
      </c>
      <c r="S336" s="3" t="str">
        <f t="shared" si="5"/>
        <v>Above Target</v>
      </c>
    </row>
    <row r="337" spans="1:19" ht="13.8">
      <c r="A337" t="s">
        <v>512</v>
      </c>
      <c r="B337" s="21">
        <v>45762</v>
      </c>
      <c r="C337" t="s">
        <v>29</v>
      </c>
      <c r="D337" t="s">
        <v>64</v>
      </c>
      <c r="E337" t="s">
        <v>108</v>
      </c>
      <c r="F337" t="s">
        <v>25</v>
      </c>
      <c r="G337" t="s">
        <v>26</v>
      </c>
      <c r="H337" t="s">
        <v>40</v>
      </c>
      <c r="I337">
        <v>13</v>
      </c>
      <c r="J337">
        <v>446.65</v>
      </c>
      <c r="K337">
        <v>0.03</v>
      </c>
      <c r="L337">
        <v>5632.26</v>
      </c>
      <c r="M337">
        <v>3749.18</v>
      </c>
      <c r="N337">
        <v>6300.44</v>
      </c>
      <c r="O337" s="3">
        <f>_xlfn.XLOOKUP(SalesData[[#This Row],[Product]],ProductLookup[Product],ProductLookup[Standard_Price],"Not Found")</f>
        <v>450</v>
      </c>
      <c r="P337" s="3">
        <f>SalesData[[#This Row],[Revenue]]-SalesData[[#This Row],[Cost]]</f>
        <v>1883.0800000000004</v>
      </c>
      <c r="Q337" s="5">
        <f>IFERROR(SalesData[[#This Row],[Profit]]/SalesData[[#This Row],[Revenue]],0)</f>
        <v>0.33433825853209909</v>
      </c>
      <c r="R337" s="3">
        <f>SalesData[[#This Row],[Revenue]]-SalesData[[#This Row],[Target]]</f>
        <v>-668.17999999999938</v>
      </c>
      <c r="S337" s="3" t="str">
        <f t="shared" si="5"/>
        <v>Below Target</v>
      </c>
    </row>
    <row r="338" spans="1:19" ht="27.6">
      <c r="A338" t="s">
        <v>513</v>
      </c>
      <c r="B338" s="21">
        <v>45902</v>
      </c>
      <c r="C338" t="s">
        <v>67</v>
      </c>
      <c r="D338" t="s">
        <v>16</v>
      </c>
      <c r="E338" t="s">
        <v>170</v>
      </c>
      <c r="F338" t="s">
        <v>25</v>
      </c>
      <c r="G338" t="s">
        <v>45</v>
      </c>
      <c r="H338" t="s">
        <v>47</v>
      </c>
      <c r="I338">
        <v>5</v>
      </c>
      <c r="J338">
        <v>439.08</v>
      </c>
      <c r="K338">
        <v>0.02</v>
      </c>
      <c r="L338">
        <v>2151.4899999999998</v>
      </c>
      <c r="M338">
        <v>1680.36</v>
      </c>
      <c r="N338">
        <v>2039.22</v>
      </c>
      <c r="O338" s="3">
        <f>_xlfn.XLOOKUP(SalesData[[#This Row],[Product]],ProductLookup[Product],ProductLookup[Standard_Price],"Not Found")</f>
        <v>420</v>
      </c>
      <c r="P338" s="3">
        <f>SalesData[[#This Row],[Revenue]]-SalesData[[#This Row],[Cost]]</f>
        <v>471.12999999999988</v>
      </c>
      <c r="Q338" s="5">
        <f>IFERROR(SalesData[[#This Row],[Profit]]/SalesData[[#This Row],[Revenue]],0)</f>
        <v>0.21897847538217696</v>
      </c>
      <c r="R338" s="3">
        <f>SalesData[[#This Row],[Revenue]]-SalesData[[#This Row],[Target]]</f>
        <v>112.26999999999975</v>
      </c>
      <c r="S338" s="3" t="str">
        <f t="shared" si="5"/>
        <v>Above Target</v>
      </c>
    </row>
    <row r="339" spans="1:19" ht="27.6">
      <c r="A339" t="s">
        <v>514</v>
      </c>
      <c r="B339" s="21">
        <v>45740</v>
      </c>
      <c r="C339" t="s">
        <v>29</v>
      </c>
      <c r="D339" t="s">
        <v>82</v>
      </c>
      <c r="E339" t="s">
        <v>153</v>
      </c>
      <c r="F339" t="s">
        <v>18</v>
      </c>
      <c r="G339" t="s">
        <v>26</v>
      </c>
      <c r="H339" t="s">
        <v>40</v>
      </c>
      <c r="I339">
        <v>11</v>
      </c>
      <c r="J339">
        <v>454.96</v>
      </c>
      <c r="K339">
        <v>0.05</v>
      </c>
      <c r="L339">
        <v>4754.33</v>
      </c>
      <c r="M339">
        <v>3074.41</v>
      </c>
      <c r="N339">
        <v>4243.29</v>
      </c>
      <c r="O339" s="3">
        <f>_xlfn.XLOOKUP(SalesData[[#This Row],[Product]],ProductLookup[Product],ProductLookup[Standard_Price],"Not Found")</f>
        <v>450</v>
      </c>
      <c r="P339" s="3">
        <f>SalesData[[#This Row],[Revenue]]-SalesData[[#This Row],[Cost]]</f>
        <v>1679.92</v>
      </c>
      <c r="Q339" s="5">
        <f>IFERROR(SalesData[[#This Row],[Profit]]/SalesData[[#This Row],[Revenue]],0)</f>
        <v>0.35334526631512747</v>
      </c>
      <c r="R339" s="3">
        <f>SalesData[[#This Row],[Revenue]]-SalesData[[#This Row],[Target]]</f>
        <v>511.03999999999996</v>
      </c>
      <c r="S339" s="3" t="str">
        <f t="shared" si="5"/>
        <v>Above Target</v>
      </c>
    </row>
    <row r="340" spans="1:19" ht="13.8">
      <c r="A340" t="s">
        <v>515</v>
      </c>
      <c r="B340" s="21">
        <v>45882</v>
      </c>
      <c r="C340" t="s">
        <v>29</v>
      </c>
      <c r="D340" t="s">
        <v>16</v>
      </c>
      <c r="E340" t="s">
        <v>273</v>
      </c>
      <c r="F340" t="s">
        <v>32</v>
      </c>
      <c r="G340" t="s">
        <v>19</v>
      </c>
      <c r="H340" t="s">
        <v>38</v>
      </c>
      <c r="I340">
        <v>7</v>
      </c>
      <c r="J340">
        <v>984.58</v>
      </c>
      <c r="K340">
        <v>0.03</v>
      </c>
      <c r="L340">
        <v>6685.3</v>
      </c>
      <c r="M340">
        <v>5018.88</v>
      </c>
      <c r="N340">
        <v>7174.7</v>
      </c>
      <c r="O340" s="3">
        <f>_xlfn.XLOOKUP(SalesData[[#This Row],[Product]],ProductLookup[Product],ProductLookup[Standard_Price],"Not Found")</f>
        <v>950</v>
      </c>
      <c r="P340" s="3">
        <f>SalesData[[#This Row],[Revenue]]-SalesData[[#This Row],[Cost]]</f>
        <v>1666.42</v>
      </c>
      <c r="Q340" s="5">
        <f>IFERROR(SalesData[[#This Row],[Profit]]/SalesData[[#This Row],[Revenue]],0)</f>
        <v>0.24926630068957265</v>
      </c>
      <c r="R340" s="3">
        <f>SalesData[[#This Row],[Revenue]]-SalesData[[#This Row],[Target]]</f>
        <v>-489.39999999999964</v>
      </c>
      <c r="S340" s="3" t="str">
        <f t="shared" si="5"/>
        <v>Below Target</v>
      </c>
    </row>
    <row r="341" spans="1:19" ht="27.6">
      <c r="A341" t="s">
        <v>516</v>
      </c>
      <c r="B341" s="21">
        <v>45735</v>
      </c>
      <c r="C341" t="s">
        <v>22</v>
      </c>
      <c r="D341" t="s">
        <v>30</v>
      </c>
      <c r="E341" t="s">
        <v>197</v>
      </c>
      <c r="F341" t="s">
        <v>74</v>
      </c>
      <c r="G341" t="s">
        <v>33</v>
      </c>
      <c r="H341" t="s">
        <v>42</v>
      </c>
      <c r="I341">
        <v>12</v>
      </c>
      <c r="J341">
        <v>59.11</v>
      </c>
      <c r="K341">
        <v>0.02</v>
      </c>
      <c r="L341">
        <v>695.13</v>
      </c>
      <c r="M341">
        <v>488.11</v>
      </c>
      <c r="N341">
        <v>677.98</v>
      </c>
      <c r="O341" s="3">
        <f>_xlfn.XLOOKUP(SalesData[[#This Row],[Product]],ProductLookup[Product],ProductLookup[Standard_Price],"Not Found")</f>
        <v>60</v>
      </c>
      <c r="P341" s="3">
        <f>SalesData[[#This Row],[Revenue]]-SalesData[[#This Row],[Cost]]</f>
        <v>207.01999999999998</v>
      </c>
      <c r="Q341" s="5">
        <f>IFERROR(SalesData[[#This Row],[Profit]]/SalesData[[#This Row],[Revenue]],0)</f>
        <v>0.29781479723217236</v>
      </c>
      <c r="R341" s="3">
        <f>SalesData[[#This Row],[Revenue]]-SalesData[[#This Row],[Target]]</f>
        <v>17.149999999999977</v>
      </c>
      <c r="S341" s="3" t="str">
        <f t="shared" si="5"/>
        <v>Above Target</v>
      </c>
    </row>
    <row r="342" spans="1:19" ht="27.6">
      <c r="A342" t="s">
        <v>517</v>
      </c>
      <c r="B342" s="21">
        <v>45829</v>
      </c>
      <c r="C342" t="s">
        <v>29</v>
      </c>
      <c r="D342" t="s">
        <v>64</v>
      </c>
      <c r="E342" t="s">
        <v>113</v>
      </c>
      <c r="F342" t="s">
        <v>18</v>
      </c>
      <c r="G342" t="s">
        <v>19</v>
      </c>
      <c r="H342" t="s">
        <v>20</v>
      </c>
      <c r="I342">
        <v>10</v>
      </c>
      <c r="J342">
        <v>827.44</v>
      </c>
      <c r="K342">
        <v>0.1</v>
      </c>
      <c r="L342">
        <v>7446.96</v>
      </c>
      <c r="M342">
        <v>5597.74</v>
      </c>
      <c r="N342">
        <v>6621.02</v>
      </c>
      <c r="O342" s="3">
        <f>_xlfn.XLOOKUP(SalesData[[#This Row],[Product]],ProductLookup[Product],ProductLookup[Standard_Price],"Not Found")</f>
        <v>850</v>
      </c>
      <c r="P342" s="3">
        <f>SalesData[[#This Row],[Revenue]]-SalesData[[#This Row],[Cost]]</f>
        <v>1849.2200000000003</v>
      </c>
      <c r="Q342" s="5">
        <f>IFERROR(SalesData[[#This Row],[Profit]]/SalesData[[#This Row],[Revenue]],0)</f>
        <v>0.24831877705802102</v>
      </c>
      <c r="R342" s="3">
        <f>SalesData[[#This Row],[Revenue]]-SalesData[[#This Row],[Target]]</f>
        <v>825.9399999999996</v>
      </c>
      <c r="S342" s="3" t="str">
        <f t="shared" si="5"/>
        <v>Above Target</v>
      </c>
    </row>
    <row r="343" spans="1:19" ht="27.6">
      <c r="A343" t="s">
        <v>518</v>
      </c>
      <c r="B343" s="21">
        <v>45668</v>
      </c>
      <c r="C343" t="s">
        <v>29</v>
      </c>
      <c r="D343" t="s">
        <v>64</v>
      </c>
      <c r="E343" t="s">
        <v>368</v>
      </c>
      <c r="F343" t="s">
        <v>18</v>
      </c>
      <c r="G343" t="s">
        <v>19</v>
      </c>
      <c r="H343" t="s">
        <v>20</v>
      </c>
      <c r="I343">
        <v>15</v>
      </c>
      <c r="J343">
        <v>834.4</v>
      </c>
      <c r="K343">
        <v>0</v>
      </c>
      <c r="L343">
        <v>12516</v>
      </c>
      <c r="M343">
        <v>7841.3</v>
      </c>
      <c r="N343">
        <v>12478.02</v>
      </c>
      <c r="O343" s="3">
        <f>_xlfn.XLOOKUP(SalesData[[#This Row],[Product]],ProductLookup[Product],ProductLookup[Standard_Price],"Not Found")</f>
        <v>850</v>
      </c>
      <c r="P343" s="3">
        <f>SalesData[[#This Row],[Revenue]]-SalesData[[#This Row],[Cost]]</f>
        <v>4674.7</v>
      </c>
      <c r="Q343" s="5">
        <f>IFERROR(SalesData[[#This Row],[Profit]]/SalesData[[#This Row],[Revenue]],0)</f>
        <v>0.37349792265899645</v>
      </c>
      <c r="R343" s="3">
        <f>SalesData[[#This Row],[Revenue]]-SalesData[[#This Row],[Target]]</f>
        <v>37.979999999999563</v>
      </c>
      <c r="S343" s="3" t="str">
        <f t="shared" si="5"/>
        <v>Above Target</v>
      </c>
    </row>
    <row r="344" spans="1:19" ht="13.8">
      <c r="A344" t="s">
        <v>519</v>
      </c>
      <c r="B344" s="21">
        <v>45749</v>
      </c>
      <c r="C344" t="s">
        <v>15</v>
      </c>
      <c r="D344" t="s">
        <v>64</v>
      </c>
      <c r="E344" t="s">
        <v>215</v>
      </c>
      <c r="F344" t="s">
        <v>74</v>
      </c>
      <c r="G344" t="s">
        <v>26</v>
      </c>
      <c r="H344" t="s">
        <v>39</v>
      </c>
      <c r="I344">
        <v>11</v>
      </c>
      <c r="J344">
        <v>220.89</v>
      </c>
      <c r="K344">
        <v>0.1</v>
      </c>
      <c r="L344">
        <v>2186.81</v>
      </c>
      <c r="M344">
        <v>1667.24</v>
      </c>
      <c r="N344">
        <v>2187.19</v>
      </c>
      <c r="O344" s="3">
        <f>_xlfn.XLOOKUP(SalesData[[#This Row],[Product]],ProductLookup[Product],ProductLookup[Standard_Price],"Not Found")</f>
        <v>220</v>
      </c>
      <c r="P344" s="3">
        <f>SalesData[[#This Row],[Revenue]]-SalesData[[#This Row],[Cost]]</f>
        <v>519.56999999999994</v>
      </c>
      <c r="Q344" s="5">
        <f>IFERROR(SalesData[[#This Row],[Profit]]/SalesData[[#This Row],[Revenue]],0)</f>
        <v>0.23759265779834551</v>
      </c>
      <c r="R344" s="3">
        <f>SalesData[[#This Row],[Revenue]]-SalesData[[#This Row],[Target]]</f>
        <v>-0.38000000000010914</v>
      </c>
      <c r="S344" s="3" t="str">
        <f t="shared" si="5"/>
        <v>Below Target</v>
      </c>
    </row>
    <row r="345" spans="1:19" ht="27.6">
      <c r="A345" t="s">
        <v>520</v>
      </c>
      <c r="B345" s="21">
        <v>45697</v>
      </c>
      <c r="C345" t="s">
        <v>29</v>
      </c>
      <c r="D345" t="s">
        <v>16</v>
      </c>
      <c r="E345" t="s">
        <v>228</v>
      </c>
      <c r="F345" t="s">
        <v>32</v>
      </c>
      <c r="G345" t="s">
        <v>26</v>
      </c>
      <c r="H345" t="s">
        <v>40</v>
      </c>
      <c r="I345">
        <v>4</v>
      </c>
      <c r="J345">
        <v>465.89</v>
      </c>
      <c r="K345">
        <v>0.02</v>
      </c>
      <c r="L345">
        <v>1826.29</v>
      </c>
      <c r="M345">
        <v>1389.64</v>
      </c>
      <c r="N345">
        <v>1726.78</v>
      </c>
      <c r="O345" s="3">
        <f>_xlfn.XLOOKUP(SalesData[[#This Row],[Product]],ProductLookup[Product],ProductLookup[Standard_Price],"Not Found")</f>
        <v>450</v>
      </c>
      <c r="P345" s="3">
        <f>SalesData[[#This Row],[Revenue]]-SalesData[[#This Row],[Cost]]</f>
        <v>436.64999999999986</v>
      </c>
      <c r="Q345" s="5">
        <f>IFERROR(SalesData[[#This Row],[Profit]]/SalesData[[#This Row],[Revenue]],0)</f>
        <v>0.23909127247041809</v>
      </c>
      <c r="R345" s="3">
        <f>SalesData[[#This Row],[Revenue]]-SalesData[[#This Row],[Target]]</f>
        <v>99.509999999999991</v>
      </c>
      <c r="S345" s="3" t="str">
        <f t="shared" si="5"/>
        <v>Above Target</v>
      </c>
    </row>
    <row r="346" spans="1:19" ht="13.8">
      <c r="A346" t="s">
        <v>521</v>
      </c>
      <c r="B346" s="21">
        <v>45693</v>
      </c>
      <c r="C346" t="s">
        <v>67</v>
      </c>
      <c r="D346" t="s">
        <v>16</v>
      </c>
      <c r="E346" t="s">
        <v>120</v>
      </c>
      <c r="F346" t="s">
        <v>18</v>
      </c>
      <c r="G346" t="s">
        <v>19</v>
      </c>
      <c r="H346" t="s">
        <v>20</v>
      </c>
      <c r="I346">
        <v>4</v>
      </c>
      <c r="J346">
        <v>850.74</v>
      </c>
      <c r="K346">
        <v>0.05</v>
      </c>
      <c r="L346">
        <v>3232.81</v>
      </c>
      <c r="M346">
        <v>2501.21</v>
      </c>
      <c r="N346">
        <v>3583.45</v>
      </c>
      <c r="O346" s="3">
        <f>_xlfn.XLOOKUP(SalesData[[#This Row],[Product]],ProductLookup[Product],ProductLookup[Standard_Price],"Not Found")</f>
        <v>850</v>
      </c>
      <c r="P346" s="3">
        <f>SalesData[[#This Row],[Revenue]]-SalesData[[#This Row],[Cost]]</f>
        <v>731.59999999999991</v>
      </c>
      <c r="Q346" s="5">
        <f>IFERROR(SalesData[[#This Row],[Profit]]/SalesData[[#This Row],[Revenue]],0)</f>
        <v>0.22630466993111253</v>
      </c>
      <c r="R346" s="3">
        <f>SalesData[[#This Row],[Revenue]]-SalesData[[#This Row],[Target]]</f>
        <v>-350.63999999999987</v>
      </c>
      <c r="S346" s="3" t="str">
        <f t="shared" si="5"/>
        <v>Below Target</v>
      </c>
    </row>
    <row r="347" spans="1:19" ht="13.8">
      <c r="A347" t="s">
        <v>522</v>
      </c>
      <c r="B347" s="21">
        <v>45992</v>
      </c>
      <c r="C347" t="s">
        <v>67</v>
      </c>
      <c r="D347" t="s">
        <v>68</v>
      </c>
      <c r="E347" t="s">
        <v>368</v>
      </c>
      <c r="F347" t="s">
        <v>32</v>
      </c>
      <c r="G347" t="s">
        <v>33</v>
      </c>
      <c r="H347" t="s">
        <v>41</v>
      </c>
      <c r="I347">
        <v>9</v>
      </c>
      <c r="J347">
        <v>83.15</v>
      </c>
      <c r="K347">
        <v>0.03</v>
      </c>
      <c r="L347">
        <v>725.9</v>
      </c>
      <c r="M347">
        <v>545.78</v>
      </c>
      <c r="N347">
        <v>809.94</v>
      </c>
      <c r="O347" s="3">
        <f>_xlfn.XLOOKUP(SalesData[[#This Row],[Product]],ProductLookup[Product],ProductLookup[Standard_Price],"Not Found")</f>
        <v>85</v>
      </c>
      <c r="P347" s="3">
        <f>SalesData[[#This Row],[Revenue]]-SalesData[[#This Row],[Cost]]</f>
        <v>180.12</v>
      </c>
      <c r="Q347" s="5">
        <f>IFERROR(SalesData[[#This Row],[Profit]]/SalesData[[#This Row],[Revenue]],0)</f>
        <v>0.2481333517013363</v>
      </c>
      <c r="R347" s="3">
        <f>SalesData[[#This Row],[Revenue]]-SalesData[[#This Row],[Target]]</f>
        <v>-84.040000000000077</v>
      </c>
      <c r="S347" s="3" t="str">
        <f t="shared" si="5"/>
        <v>Below Target</v>
      </c>
    </row>
    <row r="348" spans="1:19" ht="13.8">
      <c r="A348" t="s">
        <v>523</v>
      </c>
      <c r="B348" s="21">
        <v>45934</v>
      </c>
      <c r="C348" t="s">
        <v>29</v>
      </c>
      <c r="D348" t="s">
        <v>82</v>
      </c>
      <c r="E348" t="s">
        <v>17</v>
      </c>
      <c r="F348" t="s">
        <v>25</v>
      </c>
      <c r="G348" t="s">
        <v>33</v>
      </c>
      <c r="H348" t="s">
        <v>34</v>
      </c>
      <c r="I348">
        <v>7</v>
      </c>
      <c r="J348">
        <v>36.659999999999997</v>
      </c>
      <c r="K348">
        <v>0.05</v>
      </c>
      <c r="L348">
        <v>243.79</v>
      </c>
      <c r="M348">
        <v>187.09</v>
      </c>
      <c r="N348">
        <v>266.12</v>
      </c>
      <c r="O348" s="3">
        <f>_xlfn.XLOOKUP(SalesData[[#This Row],[Product]],ProductLookup[Product],ProductLookup[Standard_Price],"Not Found")</f>
        <v>35</v>
      </c>
      <c r="P348" s="3">
        <f>SalesData[[#This Row],[Revenue]]-SalesData[[#This Row],[Cost]]</f>
        <v>56.699999999999989</v>
      </c>
      <c r="Q348" s="5">
        <f>IFERROR(SalesData[[#This Row],[Profit]]/SalesData[[#This Row],[Revenue]],0)</f>
        <v>0.23257721809754292</v>
      </c>
      <c r="R348" s="3">
        <f>SalesData[[#This Row],[Revenue]]-SalesData[[#This Row],[Target]]</f>
        <v>-22.330000000000013</v>
      </c>
      <c r="S348" s="3" t="str">
        <f t="shared" si="5"/>
        <v>Below Target</v>
      </c>
    </row>
    <row r="349" spans="1:19" ht="27.6">
      <c r="A349" t="s">
        <v>524</v>
      </c>
      <c r="B349" s="21">
        <v>45969</v>
      </c>
      <c r="C349" t="s">
        <v>29</v>
      </c>
      <c r="D349" t="s">
        <v>23</v>
      </c>
      <c r="E349" t="s">
        <v>469</v>
      </c>
      <c r="F349" t="s">
        <v>18</v>
      </c>
      <c r="G349" t="s">
        <v>33</v>
      </c>
      <c r="H349" t="s">
        <v>42</v>
      </c>
      <c r="I349">
        <v>15</v>
      </c>
      <c r="J349">
        <v>62.93</v>
      </c>
      <c r="K349">
        <v>0.1</v>
      </c>
      <c r="L349">
        <v>849.56</v>
      </c>
      <c r="M349">
        <v>623.91999999999996</v>
      </c>
      <c r="N349">
        <v>824.47</v>
      </c>
      <c r="O349" s="3">
        <f>_xlfn.XLOOKUP(SalesData[[#This Row],[Product]],ProductLookup[Product],ProductLookup[Standard_Price],"Not Found")</f>
        <v>60</v>
      </c>
      <c r="P349" s="3">
        <f>SalesData[[#This Row],[Revenue]]-SalesData[[#This Row],[Cost]]</f>
        <v>225.64</v>
      </c>
      <c r="Q349" s="5">
        <f>IFERROR(SalesData[[#This Row],[Profit]]/SalesData[[#This Row],[Revenue]],0)</f>
        <v>0.265596308677433</v>
      </c>
      <c r="R349" s="3">
        <f>SalesData[[#This Row],[Revenue]]-SalesData[[#This Row],[Target]]</f>
        <v>25.089999999999918</v>
      </c>
      <c r="S349" s="3" t="str">
        <f t="shared" si="5"/>
        <v>Above Target</v>
      </c>
    </row>
    <row r="350" spans="1:19" ht="13.8">
      <c r="A350" t="s">
        <v>525</v>
      </c>
      <c r="B350" s="21">
        <v>45702</v>
      </c>
      <c r="C350" t="s">
        <v>67</v>
      </c>
      <c r="D350" t="s">
        <v>82</v>
      </c>
      <c r="E350" t="s">
        <v>197</v>
      </c>
      <c r="F350" t="s">
        <v>74</v>
      </c>
      <c r="G350" t="s">
        <v>33</v>
      </c>
      <c r="H350" t="s">
        <v>43</v>
      </c>
      <c r="I350">
        <v>13</v>
      </c>
      <c r="J350">
        <v>71.5</v>
      </c>
      <c r="K350">
        <v>0.1</v>
      </c>
      <c r="L350">
        <v>836.55</v>
      </c>
      <c r="M350">
        <v>511.04</v>
      </c>
      <c r="N350">
        <v>875.54</v>
      </c>
      <c r="O350" s="3">
        <f>_xlfn.XLOOKUP(SalesData[[#This Row],[Product]],ProductLookup[Product],ProductLookup[Standard_Price],"Not Found")</f>
        <v>75</v>
      </c>
      <c r="P350" s="3">
        <f>SalesData[[#This Row],[Revenue]]-SalesData[[#This Row],[Cost]]</f>
        <v>325.50999999999993</v>
      </c>
      <c r="Q350" s="5">
        <f>IFERROR(SalesData[[#This Row],[Profit]]/SalesData[[#This Row],[Revenue]],0)</f>
        <v>0.38911003526388138</v>
      </c>
      <c r="R350" s="3">
        <f>SalesData[[#This Row],[Revenue]]-SalesData[[#This Row],[Target]]</f>
        <v>-38.990000000000009</v>
      </c>
      <c r="S350" s="3" t="str">
        <f t="shared" si="5"/>
        <v>Below Target</v>
      </c>
    </row>
    <row r="351" spans="1:19" ht="13.8">
      <c r="A351" t="s">
        <v>526</v>
      </c>
      <c r="B351" s="21">
        <v>45939</v>
      </c>
      <c r="C351" t="s">
        <v>22</v>
      </c>
      <c r="D351" t="s">
        <v>64</v>
      </c>
      <c r="E351" t="s">
        <v>316</v>
      </c>
      <c r="F351" t="s">
        <v>74</v>
      </c>
      <c r="G351" t="s">
        <v>45</v>
      </c>
      <c r="H351" t="s">
        <v>44</v>
      </c>
      <c r="I351">
        <v>6</v>
      </c>
      <c r="J351">
        <v>258.83999999999997</v>
      </c>
      <c r="K351">
        <v>0.08</v>
      </c>
      <c r="L351">
        <v>1428.8</v>
      </c>
      <c r="M351">
        <v>857.57</v>
      </c>
      <c r="N351">
        <v>1513.23</v>
      </c>
      <c r="O351" s="3">
        <f>_xlfn.XLOOKUP(SalesData[[#This Row],[Product]],ProductLookup[Product],ProductLookup[Standard_Price],"Not Found")</f>
        <v>260</v>
      </c>
      <c r="P351" s="3">
        <f>SalesData[[#This Row],[Revenue]]-SalesData[[#This Row],[Cost]]</f>
        <v>571.2299999999999</v>
      </c>
      <c r="Q351" s="5">
        <f>IFERROR(SalesData[[#This Row],[Profit]]/SalesData[[#This Row],[Revenue]],0)</f>
        <v>0.39979703247480397</v>
      </c>
      <c r="R351" s="3">
        <f>SalesData[[#This Row],[Revenue]]-SalesData[[#This Row],[Target]]</f>
        <v>-84.430000000000064</v>
      </c>
      <c r="S351" s="3" t="str">
        <f t="shared" si="5"/>
        <v>Below Target</v>
      </c>
    </row>
    <row r="352" spans="1:19" ht="27.6">
      <c r="A352" t="s">
        <v>527</v>
      </c>
      <c r="B352" s="21">
        <v>45778</v>
      </c>
      <c r="C352" t="s">
        <v>67</v>
      </c>
      <c r="D352" t="s">
        <v>64</v>
      </c>
      <c r="E352" t="s">
        <v>469</v>
      </c>
      <c r="F352" t="s">
        <v>32</v>
      </c>
      <c r="G352" t="s">
        <v>45</v>
      </c>
      <c r="H352" t="s">
        <v>44</v>
      </c>
      <c r="I352">
        <v>13</v>
      </c>
      <c r="J352">
        <v>266.33</v>
      </c>
      <c r="K352">
        <v>0.05</v>
      </c>
      <c r="L352">
        <v>3289.18</v>
      </c>
      <c r="M352">
        <v>2230.54</v>
      </c>
      <c r="N352">
        <v>2945.09</v>
      </c>
      <c r="O352" s="3">
        <f>_xlfn.XLOOKUP(SalesData[[#This Row],[Product]],ProductLookup[Product],ProductLookup[Standard_Price],"Not Found")</f>
        <v>260</v>
      </c>
      <c r="P352" s="3">
        <f>SalesData[[#This Row],[Revenue]]-SalesData[[#This Row],[Cost]]</f>
        <v>1058.6399999999999</v>
      </c>
      <c r="Q352" s="5">
        <f>IFERROR(SalesData[[#This Row],[Profit]]/SalesData[[#This Row],[Revenue]],0)</f>
        <v>0.32185529524075907</v>
      </c>
      <c r="R352" s="3">
        <f>SalesData[[#This Row],[Revenue]]-SalesData[[#This Row],[Target]]</f>
        <v>344.08999999999969</v>
      </c>
      <c r="S352" s="3" t="str">
        <f t="shared" si="5"/>
        <v>Above Target</v>
      </c>
    </row>
    <row r="353" spans="1:19" ht="13.8">
      <c r="A353" t="s">
        <v>528</v>
      </c>
      <c r="B353" s="21">
        <v>45694</v>
      </c>
      <c r="C353" t="s">
        <v>67</v>
      </c>
      <c r="D353" t="s">
        <v>68</v>
      </c>
      <c r="E353" t="s">
        <v>307</v>
      </c>
      <c r="F353" t="s">
        <v>32</v>
      </c>
      <c r="G353" t="s">
        <v>45</v>
      </c>
      <c r="H353" t="s">
        <v>44</v>
      </c>
      <c r="I353">
        <v>13</v>
      </c>
      <c r="J353">
        <v>261.12</v>
      </c>
      <c r="K353">
        <v>0.02</v>
      </c>
      <c r="L353">
        <v>3326.67</v>
      </c>
      <c r="M353">
        <v>2672.21</v>
      </c>
      <c r="N353">
        <v>3538.56</v>
      </c>
      <c r="O353" s="3">
        <f>_xlfn.XLOOKUP(SalesData[[#This Row],[Product]],ProductLookup[Product],ProductLookup[Standard_Price],"Not Found")</f>
        <v>260</v>
      </c>
      <c r="P353" s="3">
        <f>SalesData[[#This Row],[Revenue]]-SalesData[[#This Row],[Cost]]</f>
        <v>654.46</v>
      </c>
      <c r="Q353" s="5">
        <f>IFERROR(SalesData[[#This Row],[Profit]]/SalesData[[#This Row],[Revenue]],0)</f>
        <v>0.19673126580033487</v>
      </c>
      <c r="R353" s="3">
        <f>SalesData[[#This Row],[Revenue]]-SalesData[[#This Row],[Target]]</f>
        <v>-211.88999999999987</v>
      </c>
      <c r="S353" s="3" t="str">
        <f t="shared" si="5"/>
        <v>Below Target</v>
      </c>
    </row>
    <row r="354" spans="1:19" ht="13.8">
      <c r="A354" t="s">
        <v>529</v>
      </c>
      <c r="B354" s="21">
        <v>45925</v>
      </c>
      <c r="C354" t="s">
        <v>67</v>
      </c>
      <c r="D354" t="s">
        <v>64</v>
      </c>
      <c r="E354" t="s">
        <v>190</v>
      </c>
      <c r="F354" t="s">
        <v>25</v>
      </c>
      <c r="G354" t="s">
        <v>33</v>
      </c>
      <c r="H354" t="s">
        <v>43</v>
      </c>
      <c r="I354">
        <v>8</v>
      </c>
      <c r="J354">
        <v>75.53</v>
      </c>
      <c r="K354">
        <v>0.02</v>
      </c>
      <c r="L354">
        <v>592.16</v>
      </c>
      <c r="M354">
        <v>363.87</v>
      </c>
      <c r="N354">
        <v>628.72</v>
      </c>
      <c r="O354" s="3">
        <f>_xlfn.XLOOKUP(SalesData[[#This Row],[Product]],ProductLookup[Product],ProductLookup[Standard_Price],"Not Found")</f>
        <v>75</v>
      </c>
      <c r="P354" s="3">
        <f>SalesData[[#This Row],[Revenue]]-SalesData[[#This Row],[Cost]]</f>
        <v>228.28999999999996</v>
      </c>
      <c r="Q354" s="5">
        <f>IFERROR(SalesData[[#This Row],[Profit]]/SalesData[[#This Row],[Revenue]],0)</f>
        <v>0.38552080518778703</v>
      </c>
      <c r="R354" s="3">
        <f>SalesData[[#This Row],[Revenue]]-SalesData[[#This Row],[Target]]</f>
        <v>-36.560000000000059</v>
      </c>
      <c r="S354" s="3" t="str">
        <f t="shared" si="5"/>
        <v>Below Target</v>
      </c>
    </row>
    <row r="355" spans="1:19" ht="13.8">
      <c r="A355" t="s">
        <v>530</v>
      </c>
      <c r="B355" s="21">
        <v>45845</v>
      </c>
      <c r="C355" t="s">
        <v>15</v>
      </c>
      <c r="D355" t="s">
        <v>30</v>
      </c>
      <c r="E355" t="s">
        <v>358</v>
      </c>
      <c r="F355" t="s">
        <v>32</v>
      </c>
      <c r="G355" t="s">
        <v>26</v>
      </c>
      <c r="H355" t="s">
        <v>39</v>
      </c>
      <c r="I355">
        <v>11</v>
      </c>
      <c r="J355">
        <v>212.79</v>
      </c>
      <c r="K355">
        <v>0.1</v>
      </c>
      <c r="L355">
        <v>2106.62</v>
      </c>
      <c r="M355">
        <v>1477.3</v>
      </c>
      <c r="N355">
        <v>2177.67</v>
      </c>
      <c r="O355" s="3">
        <f>_xlfn.XLOOKUP(SalesData[[#This Row],[Product]],ProductLookup[Product],ProductLookup[Standard_Price],"Not Found")</f>
        <v>220</v>
      </c>
      <c r="P355" s="3">
        <f>SalesData[[#This Row],[Revenue]]-SalesData[[#This Row],[Cost]]</f>
        <v>629.31999999999994</v>
      </c>
      <c r="Q355" s="5">
        <f>IFERROR(SalesData[[#This Row],[Profit]]/SalesData[[#This Row],[Revenue]],0)</f>
        <v>0.29873446563689698</v>
      </c>
      <c r="R355" s="3">
        <f>SalesData[[#This Row],[Revenue]]-SalesData[[#This Row],[Target]]</f>
        <v>-71.050000000000182</v>
      </c>
      <c r="S355" s="3" t="str">
        <f t="shared" si="5"/>
        <v>Below Target</v>
      </c>
    </row>
    <row r="356" spans="1:19" ht="27.6">
      <c r="A356" t="s">
        <v>531</v>
      </c>
      <c r="B356" s="21">
        <v>45877</v>
      </c>
      <c r="C356" t="s">
        <v>67</v>
      </c>
      <c r="D356" t="s">
        <v>68</v>
      </c>
      <c r="E356" t="s">
        <v>469</v>
      </c>
      <c r="F356" t="s">
        <v>18</v>
      </c>
      <c r="G356" t="s">
        <v>19</v>
      </c>
      <c r="H356" t="s">
        <v>37</v>
      </c>
      <c r="I356">
        <v>7</v>
      </c>
      <c r="J356">
        <v>1061.92</v>
      </c>
      <c r="K356">
        <v>0.03</v>
      </c>
      <c r="L356">
        <v>7210.44</v>
      </c>
      <c r="M356">
        <v>4921.3599999999997</v>
      </c>
      <c r="N356">
        <v>6976.43</v>
      </c>
      <c r="O356" s="3">
        <f>_xlfn.XLOOKUP(SalesData[[#This Row],[Product]],ProductLookup[Product],ProductLookup[Standard_Price],"Not Found")</f>
        <v>1100</v>
      </c>
      <c r="P356" s="3">
        <f>SalesData[[#This Row],[Revenue]]-SalesData[[#This Row],[Cost]]</f>
        <v>2289.08</v>
      </c>
      <c r="Q356" s="5">
        <f>IFERROR(SalesData[[#This Row],[Profit]]/SalesData[[#This Row],[Revenue]],0)</f>
        <v>0.31746744997531356</v>
      </c>
      <c r="R356" s="3">
        <f>SalesData[[#This Row],[Revenue]]-SalesData[[#This Row],[Target]]</f>
        <v>234.00999999999931</v>
      </c>
      <c r="S356" s="3" t="str">
        <f t="shared" si="5"/>
        <v>Above Target</v>
      </c>
    </row>
    <row r="357" spans="1:19" ht="13.8">
      <c r="A357" t="s">
        <v>532</v>
      </c>
      <c r="B357" s="21">
        <v>45798</v>
      </c>
      <c r="C357" t="s">
        <v>29</v>
      </c>
      <c r="D357" t="s">
        <v>64</v>
      </c>
      <c r="E357" t="s">
        <v>492</v>
      </c>
      <c r="F357" t="s">
        <v>18</v>
      </c>
      <c r="G357" t="s">
        <v>33</v>
      </c>
      <c r="H357" t="s">
        <v>34</v>
      </c>
      <c r="I357">
        <v>5</v>
      </c>
      <c r="J357">
        <v>36.74</v>
      </c>
      <c r="K357">
        <v>0.1</v>
      </c>
      <c r="L357">
        <v>165.33</v>
      </c>
      <c r="M357">
        <v>103.26</v>
      </c>
      <c r="N357">
        <v>170.67</v>
      </c>
      <c r="O357" s="3">
        <f>_xlfn.XLOOKUP(SalesData[[#This Row],[Product]],ProductLookup[Product],ProductLookup[Standard_Price],"Not Found")</f>
        <v>35</v>
      </c>
      <c r="P357" s="3">
        <f>SalesData[[#This Row],[Revenue]]-SalesData[[#This Row],[Cost]]</f>
        <v>62.070000000000007</v>
      </c>
      <c r="Q357" s="5">
        <f>IFERROR(SalesData[[#This Row],[Profit]]/SalesData[[#This Row],[Revenue]],0)</f>
        <v>0.37543095626927964</v>
      </c>
      <c r="R357" s="3">
        <f>SalesData[[#This Row],[Revenue]]-SalesData[[#This Row],[Target]]</f>
        <v>-5.339999999999975</v>
      </c>
      <c r="S357" s="3" t="str">
        <f t="shared" si="5"/>
        <v>Below Target</v>
      </c>
    </row>
    <row r="358" spans="1:19" ht="27.6">
      <c r="A358" t="s">
        <v>533</v>
      </c>
      <c r="B358" s="21">
        <v>46006</v>
      </c>
      <c r="C358" t="s">
        <v>67</v>
      </c>
      <c r="D358" t="s">
        <v>68</v>
      </c>
      <c r="E358" t="s">
        <v>188</v>
      </c>
      <c r="F358" t="s">
        <v>18</v>
      </c>
      <c r="G358" t="s">
        <v>19</v>
      </c>
      <c r="H358" t="s">
        <v>38</v>
      </c>
      <c r="I358">
        <v>6</v>
      </c>
      <c r="J358">
        <v>948.93</v>
      </c>
      <c r="K358">
        <v>0.1</v>
      </c>
      <c r="L358">
        <v>5124.22</v>
      </c>
      <c r="M358">
        <v>3342.42</v>
      </c>
      <c r="N358">
        <v>4965.3</v>
      </c>
      <c r="O358" s="3">
        <f>_xlfn.XLOOKUP(SalesData[[#This Row],[Product]],ProductLookup[Product],ProductLookup[Standard_Price],"Not Found")</f>
        <v>950</v>
      </c>
      <c r="P358" s="3">
        <f>SalesData[[#This Row],[Revenue]]-SalesData[[#This Row],[Cost]]</f>
        <v>1781.8000000000002</v>
      </c>
      <c r="Q358" s="5">
        <f>IFERROR(SalesData[[#This Row],[Profit]]/SalesData[[#This Row],[Revenue]],0)</f>
        <v>0.34772121415552026</v>
      </c>
      <c r="R358" s="3">
        <f>SalesData[[#This Row],[Revenue]]-SalesData[[#This Row],[Target]]</f>
        <v>158.92000000000007</v>
      </c>
      <c r="S358" s="3" t="str">
        <f t="shared" si="5"/>
        <v>Above Target</v>
      </c>
    </row>
    <row r="359" spans="1:19" ht="27.6">
      <c r="A359" t="s">
        <v>534</v>
      </c>
      <c r="B359" s="21">
        <v>45942</v>
      </c>
      <c r="C359" t="s">
        <v>67</v>
      </c>
      <c r="D359" t="s">
        <v>30</v>
      </c>
      <c r="E359" t="s">
        <v>188</v>
      </c>
      <c r="F359" t="s">
        <v>25</v>
      </c>
      <c r="G359" t="s">
        <v>26</v>
      </c>
      <c r="H359" t="s">
        <v>39</v>
      </c>
      <c r="I359">
        <v>1</v>
      </c>
      <c r="J359">
        <v>221.55</v>
      </c>
      <c r="K359">
        <v>0</v>
      </c>
      <c r="L359">
        <v>221.55</v>
      </c>
      <c r="M359">
        <v>161.72</v>
      </c>
      <c r="N359">
        <v>211.26</v>
      </c>
      <c r="O359" s="3">
        <f>_xlfn.XLOOKUP(SalesData[[#This Row],[Product]],ProductLookup[Product],ProductLookup[Standard_Price],"Not Found")</f>
        <v>220</v>
      </c>
      <c r="P359" s="3">
        <f>SalesData[[#This Row],[Revenue]]-SalesData[[#This Row],[Cost]]</f>
        <v>59.830000000000013</v>
      </c>
      <c r="Q359" s="5">
        <f>IFERROR(SalesData[[#This Row],[Profit]]/SalesData[[#This Row],[Revenue]],0)</f>
        <v>0.27005190701873172</v>
      </c>
      <c r="R359" s="3">
        <f>SalesData[[#This Row],[Revenue]]-SalesData[[#This Row],[Target]]</f>
        <v>10.29000000000002</v>
      </c>
      <c r="S359" s="3" t="str">
        <f t="shared" si="5"/>
        <v>Above Target</v>
      </c>
    </row>
    <row r="360" spans="1:19" ht="27.6">
      <c r="A360" t="s">
        <v>535</v>
      </c>
      <c r="B360" s="21">
        <v>45793</v>
      </c>
      <c r="C360" t="s">
        <v>22</v>
      </c>
      <c r="D360" t="s">
        <v>30</v>
      </c>
      <c r="E360" t="s">
        <v>536</v>
      </c>
      <c r="F360" t="s">
        <v>32</v>
      </c>
      <c r="G360" t="s">
        <v>33</v>
      </c>
      <c r="H360" t="s">
        <v>41</v>
      </c>
      <c r="I360">
        <v>2</v>
      </c>
      <c r="J360">
        <v>85.21</v>
      </c>
      <c r="K360">
        <v>0.05</v>
      </c>
      <c r="L360">
        <v>161.9</v>
      </c>
      <c r="M360">
        <v>127.73</v>
      </c>
      <c r="N360">
        <v>150.31</v>
      </c>
      <c r="O360" s="3">
        <f>_xlfn.XLOOKUP(SalesData[[#This Row],[Product]],ProductLookup[Product],ProductLookup[Standard_Price],"Not Found")</f>
        <v>85</v>
      </c>
      <c r="P360" s="3">
        <f>SalesData[[#This Row],[Revenue]]-SalesData[[#This Row],[Cost]]</f>
        <v>34.17</v>
      </c>
      <c r="Q360" s="5">
        <f>IFERROR(SalesData[[#This Row],[Profit]]/SalesData[[#This Row],[Revenue]],0)</f>
        <v>0.21105620753551577</v>
      </c>
      <c r="R360" s="3">
        <f>SalesData[[#This Row],[Revenue]]-SalesData[[#This Row],[Target]]</f>
        <v>11.590000000000003</v>
      </c>
      <c r="S360" s="3" t="str">
        <f t="shared" si="5"/>
        <v>Above Target</v>
      </c>
    </row>
    <row r="361" spans="1:19" ht="27.6">
      <c r="A361" t="s">
        <v>537</v>
      </c>
      <c r="B361" s="21">
        <v>45680</v>
      </c>
      <c r="C361" t="s">
        <v>22</v>
      </c>
      <c r="D361" t="s">
        <v>68</v>
      </c>
      <c r="E361" t="s">
        <v>197</v>
      </c>
      <c r="F361" t="s">
        <v>32</v>
      </c>
      <c r="G361" t="s">
        <v>45</v>
      </c>
      <c r="H361" t="s">
        <v>46</v>
      </c>
      <c r="I361">
        <v>8</v>
      </c>
      <c r="J361">
        <v>335.77</v>
      </c>
      <c r="K361">
        <v>0</v>
      </c>
      <c r="L361">
        <v>2686.16</v>
      </c>
      <c r="M361">
        <v>2032.77</v>
      </c>
      <c r="N361">
        <v>2554.16</v>
      </c>
      <c r="O361" s="3">
        <f>_xlfn.XLOOKUP(SalesData[[#This Row],[Product]],ProductLookup[Product],ProductLookup[Standard_Price],"Not Found")</f>
        <v>340</v>
      </c>
      <c r="P361" s="3">
        <f>SalesData[[#This Row],[Revenue]]-SalesData[[#This Row],[Cost]]</f>
        <v>653.38999999999987</v>
      </c>
      <c r="Q361" s="5">
        <f>IFERROR(SalesData[[#This Row],[Profit]]/SalesData[[#This Row],[Revenue]],0)</f>
        <v>0.24324314262739372</v>
      </c>
      <c r="R361" s="3">
        <f>SalesData[[#This Row],[Revenue]]-SalesData[[#This Row],[Target]]</f>
        <v>132</v>
      </c>
      <c r="S361" s="3" t="str">
        <f t="shared" si="5"/>
        <v>Above Target</v>
      </c>
    </row>
    <row r="362" spans="1:19" ht="27.6">
      <c r="A362" t="s">
        <v>538</v>
      </c>
      <c r="B362" s="21">
        <v>45838</v>
      </c>
      <c r="C362" t="s">
        <v>67</v>
      </c>
      <c r="D362" t="s">
        <v>16</v>
      </c>
      <c r="E362" t="s">
        <v>83</v>
      </c>
      <c r="F362" t="s">
        <v>25</v>
      </c>
      <c r="G362" t="s">
        <v>26</v>
      </c>
      <c r="H362" t="s">
        <v>39</v>
      </c>
      <c r="I362">
        <v>7</v>
      </c>
      <c r="J362">
        <v>227.69</v>
      </c>
      <c r="K362">
        <v>0.02</v>
      </c>
      <c r="L362">
        <v>1561.95</v>
      </c>
      <c r="M362">
        <v>1254.96</v>
      </c>
      <c r="N362">
        <v>1446.34</v>
      </c>
      <c r="O362" s="3">
        <f>_xlfn.XLOOKUP(SalesData[[#This Row],[Product]],ProductLookup[Product],ProductLookup[Standard_Price],"Not Found")</f>
        <v>220</v>
      </c>
      <c r="P362" s="3">
        <f>SalesData[[#This Row],[Revenue]]-SalesData[[#This Row],[Cost]]</f>
        <v>306.99</v>
      </c>
      <c r="Q362" s="5">
        <f>IFERROR(SalesData[[#This Row],[Profit]]/SalesData[[#This Row],[Revenue]],0)</f>
        <v>0.19654278305963699</v>
      </c>
      <c r="R362" s="3">
        <f>SalesData[[#This Row],[Revenue]]-SalesData[[#This Row],[Target]]</f>
        <v>115.61000000000013</v>
      </c>
      <c r="S362" s="3" t="str">
        <f t="shared" si="5"/>
        <v>Above Target</v>
      </c>
    </row>
    <row r="363" spans="1:19" ht="27.6">
      <c r="A363" t="s">
        <v>539</v>
      </c>
      <c r="B363" s="21">
        <v>45826</v>
      </c>
      <c r="C363" t="s">
        <v>15</v>
      </c>
      <c r="D363" t="s">
        <v>16</v>
      </c>
      <c r="E363" t="s">
        <v>494</v>
      </c>
      <c r="F363" t="s">
        <v>74</v>
      </c>
      <c r="G363" t="s">
        <v>19</v>
      </c>
      <c r="H363" t="s">
        <v>37</v>
      </c>
      <c r="I363">
        <v>2</v>
      </c>
      <c r="J363">
        <v>1128.1600000000001</v>
      </c>
      <c r="K363">
        <v>0.05</v>
      </c>
      <c r="L363">
        <v>2143.5</v>
      </c>
      <c r="M363">
        <v>1471.55</v>
      </c>
      <c r="N363">
        <v>2099.62</v>
      </c>
      <c r="O363" s="3">
        <f>_xlfn.XLOOKUP(SalesData[[#This Row],[Product]],ProductLookup[Product],ProductLookup[Standard_Price],"Not Found")</f>
        <v>1100</v>
      </c>
      <c r="P363" s="3">
        <f>SalesData[[#This Row],[Revenue]]-SalesData[[#This Row],[Cost]]</f>
        <v>671.95</v>
      </c>
      <c r="Q363" s="5">
        <f>IFERROR(SalesData[[#This Row],[Profit]]/SalesData[[#This Row],[Revenue]],0)</f>
        <v>0.31348262188010267</v>
      </c>
      <c r="R363" s="3">
        <f>SalesData[[#This Row],[Revenue]]-SalesData[[#This Row],[Target]]</f>
        <v>43.880000000000109</v>
      </c>
      <c r="S363" s="3" t="str">
        <f t="shared" si="5"/>
        <v>Above Target</v>
      </c>
    </row>
    <row r="364" spans="1:19" ht="27.6">
      <c r="A364" t="s">
        <v>540</v>
      </c>
      <c r="B364" s="21">
        <v>45894</v>
      </c>
      <c r="C364" t="s">
        <v>22</v>
      </c>
      <c r="D364" t="s">
        <v>68</v>
      </c>
      <c r="E364" t="s">
        <v>273</v>
      </c>
      <c r="F364" t="s">
        <v>18</v>
      </c>
      <c r="G364" t="s">
        <v>45</v>
      </c>
      <c r="H364" t="s">
        <v>46</v>
      </c>
      <c r="I364">
        <v>14</v>
      </c>
      <c r="J364">
        <v>337.83</v>
      </c>
      <c r="K364">
        <v>0.05</v>
      </c>
      <c r="L364">
        <v>4493.1400000000003</v>
      </c>
      <c r="M364">
        <v>2870.09</v>
      </c>
      <c r="N364">
        <v>4024.16</v>
      </c>
      <c r="O364" s="3">
        <f>_xlfn.XLOOKUP(SalesData[[#This Row],[Product]],ProductLookup[Product],ProductLookup[Standard_Price],"Not Found")</f>
        <v>340</v>
      </c>
      <c r="P364" s="3">
        <f>SalesData[[#This Row],[Revenue]]-SalesData[[#This Row],[Cost]]</f>
        <v>1623.0500000000002</v>
      </c>
      <c r="Q364" s="5">
        <f>IFERROR(SalesData[[#This Row],[Profit]]/SalesData[[#This Row],[Revenue]],0)</f>
        <v>0.3612284504822908</v>
      </c>
      <c r="R364" s="3">
        <f>SalesData[[#This Row],[Revenue]]-SalesData[[#This Row],[Target]]</f>
        <v>468.98000000000047</v>
      </c>
      <c r="S364" s="3" t="str">
        <f t="shared" si="5"/>
        <v>Above Target</v>
      </c>
    </row>
    <row r="365" spans="1:19" ht="13.8">
      <c r="A365" t="s">
        <v>541</v>
      </c>
      <c r="B365" s="21">
        <v>46001</v>
      </c>
      <c r="C365" t="s">
        <v>67</v>
      </c>
      <c r="D365" t="s">
        <v>68</v>
      </c>
      <c r="E365" t="s">
        <v>342</v>
      </c>
      <c r="F365" t="s">
        <v>74</v>
      </c>
      <c r="G365" t="s">
        <v>26</v>
      </c>
      <c r="H365" t="s">
        <v>39</v>
      </c>
      <c r="I365">
        <v>12</v>
      </c>
      <c r="J365">
        <v>213.41</v>
      </c>
      <c r="K365">
        <v>0.08</v>
      </c>
      <c r="L365">
        <v>2356.0500000000002</v>
      </c>
      <c r="M365">
        <v>1434.67</v>
      </c>
      <c r="N365">
        <v>2457.7399999999998</v>
      </c>
      <c r="O365" s="3">
        <f>_xlfn.XLOOKUP(SalesData[[#This Row],[Product]],ProductLookup[Product],ProductLookup[Standard_Price],"Not Found")</f>
        <v>220</v>
      </c>
      <c r="P365" s="3">
        <f>SalesData[[#This Row],[Revenue]]-SalesData[[#This Row],[Cost]]</f>
        <v>921.38000000000011</v>
      </c>
      <c r="Q365" s="5">
        <f>IFERROR(SalesData[[#This Row],[Profit]]/SalesData[[#This Row],[Revenue]],0)</f>
        <v>0.39106979902803424</v>
      </c>
      <c r="R365" s="3">
        <f>SalesData[[#This Row],[Revenue]]-SalesData[[#This Row],[Target]]</f>
        <v>-101.6899999999996</v>
      </c>
      <c r="S365" s="3" t="str">
        <f t="shared" si="5"/>
        <v>Below Target</v>
      </c>
    </row>
    <row r="366" spans="1:19" ht="27.6">
      <c r="A366" t="s">
        <v>542</v>
      </c>
      <c r="B366" s="21">
        <v>45718</v>
      </c>
      <c r="C366" t="s">
        <v>15</v>
      </c>
      <c r="D366" t="s">
        <v>23</v>
      </c>
      <c r="E366" t="s">
        <v>333</v>
      </c>
      <c r="F366" t="s">
        <v>74</v>
      </c>
      <c r="G366" t="s">
        <v>19</v>
      </c>
      <c r="H366" t="s">
        <v>37</v>
      </c>
      <c r="I366">
        <v>4</v>
      </c>
      <c r="J366">
        <v>1138.27</v>
      </c>
      <c r="K366">
        <v>0.08</v>
      </c>
      <c r="L366">
        <v>4188.83</v>
      </c>
      <c r="M366">
        <v>3266.64</v>
      </c>
      <c r="N366">
        <v>3788.42</v>
      </c>
      <c r="O366" s="3">
        <f>_xlfn.XLOOKUP(SalesData[[#This Row],[Product]],ProductLookup[Product],ProductLookup[Standard_Price],"Not Found")</f>
        <v>1100</v>
      </c>
      <c r="P366" s="3">
        <f>SalesData[[#This Row],[Revenue]]-SalesData[[#This Row],[Cost]]</f>
        <v>922.19</v>
      </c>
      <c r="Q366" s="5">
        <f>IFERROR(SalesData[[#This Row],[Profit]]/SalesData[[#This Row],[Revenue]],0)</f>
        <v>0.22015455389691158</v>
      </c>
      <c r="R366" s="3">
        <f>SalesData[[#This Row],[Revenue]]-SalesData[[#This Row],[Target]]</f>
        <v>400.40999999999985</v>
      </c>
      <c r="S366" s="3" t="str">
        <f t="shared" si="5"/>
        <v>Above Target</v>
      </c>
    </row>
    <row r="367" spans="1:19" ht="13.8">
      <c r="A367" t="s">
        <v>543</v>
      </c>
      <c r="B367" s="21">
        <v>45686</v>
      </c>
      <c r="C367" t="s">
        <v>22</v>
      </c>
      <c r="D367" t="s">
        <v>64</v>
      </c>
      <c r="E367" t="s">
        <v>273</v>
      </c>
      <c r="F367" t="s">
        <v>74</v>
      </c>
      <c r="G367" t="s">
        <v>45</v>
      </c>
      <c r="H367" t="s">
        <v>44</v>
      </c>
      <c r="I367">
        <v>4</v>
      </c>
      <c r="J367">
        <v>265.49</v>
      </c>
      <c r="K367">
        <v>0.05</v>
      </c>
      <c r="L367">
        <v>1008.86</v>
      </c>
      <c r="M367">
        <v>796.86</v>
      </c>
      <c r="N367">
        <v>1021.06</v>
      </c>
      <c r="O367" s="3">
        <f>_xlfn.XLOOKUP(SalesData[[#This Row],[Product]],ProductLookup[Product],ProductLookup[Standard_Price],"Not Found")</f>
        <v>260</v>
      </c>
      <c r="P367" s="3">
        <f>SalesData[[#This Row],[Revenue]]-SalesData[[#This Row],[Cost]]</f>
        <v>212</v>
      </c>
      <c r="Q367" s="5">
        <f>IFERROR(SalesData[[#This Row],[Profit]]/SalesData[[#This Row],[Revenue]],0)</f>
        <v>0.2101381757627421</v>
      </c>
      <c r="R367" s="3">
        <f>SalesData[[#This Row],[Revenue]]-SalesData[[#This Row],[Target]]</f>
        <v>-12.199999999999932</v>
      </c>
      <c r="S367" s="3" t="str">
        <f t="shared" si="5"/>
        <v>Below Target</v>
      </c>
    </row>
    <row r="368" spans="1:19" ht="27.6">
      <c r="A368" t="s">
        <v>544</v>
      </c>
      <c r="B368" s="21">
        <v>45683</v>
      </c>
      <c r="C368" t="s">
        <v>67</v>
      </c>
      <c r="D368" t="s">
        <v>64</v>
      </c>
      <c r="E368" t="s">
        <v>228</v>
      </c>
      <c r="F368" t="s">
        <v>18</v>
      </c>
      <c r="G368" t="s">
        <v>45</v>
      </c>
      <c r="H368" t="s">
        <v>44</v>
      </c>
      <c r="I368">
        <v>3</v>
      </c>
      <c r="J368">
        <v>255.33</v>
      </c>
      <c r="K368">
        <v>0.02</v>
      </c>
      <c r="L368">
        <v>750.67</v>
      </c>
      <c r="M368">
        <v>535.98</v>
      </c>
      <c r="N368">
        <v>661.68</v>
      </c>
      <c r="O368" s="3">
        <f>_xlfn.XLOOKUP(SalesData[[#This Row],[Product]],ProductLookup[Product],ProductLookup[Standard_Price],"Not Found")</f>
        <v>260</v>
      </c>
      <c r="P368" s="3">
        <f>SalesData[[#This Row],[Revenue]]-SalesData[[#This Row],[Cost]]</f>
        <v>214.68999999999994</v>
      </c>
      <c r="Q368" s="5">
        <f>IFERROR(SalesData[[#This Row],[Profit]]/SalesData[[#This Row],[Revenue]],0)</f>
        <v>0.28599784192787769</v>
      </c>
      <c r="R368" s="3">
        <f>SalesData[[#This Row],[Revenue]]-SalesData[[#This Row],[Target]]</f>
        <v>88.990000000000009</v>
      </c>
      <c r="S368" s="3" t="str">
        <f t="shared" si="5"/>
        <v>Above Target</v>
      </c>
    </row>
    <row r="369" spans="1:19" ht="13.8">
      <c r="A369" t="s">
        <v>545</v>
      </c>
      <c r="B369" s="21">
        <v>45818</v>
      </c>
      <c r="C369" t="s">
        <v>22</v>
      </c>
      <c r="D369" t="s">
        <v>82</v>
      </c>
      <c r="E369" t="s">
        <v>143</v>
      </c>
      <c r="F369" t="s">
        <v>32</v>
      </c>
      <c r="G369" t="s">
        <v>33</v>
      </c>
      <c r="H369" t="s">
        <v>34</v>
      </c>
      <c r="I369">
        <v>5</v>
      </c>
      <c r="J369">
        <v>35.57</v>
      </c>
      <c r="K369">
        <v>0.03</v>
      </c>
      <c r="L369">
        <v>172.51</v>
      </c>
      <c r="M369">
        <v>124.6</v>
      </c>
      <c r="N369">
        <v>172.96</v>
      </c>
      <c r="O369" s="3">
        <f>_xlfn.XLOOKUP(SalesData[[#This Row],[Product]],ProductLookup[Product],ProductLookup[Standard_Price],"Not Found")</f>
        <v>35</v>
      </c>
      <c r="P369" s="3">
        <f>SalesData[[#This Row],[Revenue]]-SalesData[[#This Row],[Cost]]</f>
        <v>47.91</v>
      </c>
      <c r="Q369" s="5">
        <f>IFERROR(SalesData[[#This Row],[Profit]]/SalesData[[#This Row],[Revenue]],0)</f>
        <v>0.2777230305489537</v>
      </c>
      <c r="R369" s="3">
        <f>SalesData[[#This Row],[Revenue]]-SalesData[[#This Row],[Target]]</f>
        <v>-0.45000000000001705</v>
      </c>
      <c r="S369" s="3" t="str">
        <f t="shared" si="5"/>
        <v>Below Target</v>
      </c>
    </row>
    <row r="370" spans="1:19" ht="27.6">
      <c r="A370" t="s">
        <v>546</v>
      </c>
      <c r="B370" s="21">
        <v>45813</v>
      </c>
      <c r="C370" t="s">
        <v>29</v>
      </c>
      <c r="D370" t="s">
        <v>23</v>
      </c>
      <c r="E370" t="s">
        <v>143</v>
      </c>
      <c r="F370" t="s">
        <v>25</v>
      </c>
      <c r="G370" t="s">
        <v>26</v>
      </c>
      <c r="H370" t="s">
        <v>39</v>
      </c>
      <c r="I370">
        <v>14</v>
      </c>
      <c r="J370">
        <v>217.36</v>
      </c>
      <c r="K370">
        <v>0.05</v>
      </c>
      <c r="L370">
        <v>2890.89</v>
      </c>
      <c r="M370">
        <v>2279.35</v>
      </c>
      <c r="N370">
        <v>2722.35</v>
      </c>
      <c r="O370" s="3">
        <f>_xlfn.XLOOKUP(SalesData[[#This Row],[Product]],ProductLookup[Product],ProductLookup[Standard_Price],"Not Found")</f>
        <v>220</v>
      </c>
      <c r="P370" s="3">
        <f>SalesData[[#This Row],[Revenue]]-SalesData[[#This Row],[Cost]]</f>
        <v>611.54</v>
      </c>
      <c r="Q370" s="5">
        <f>IFERROR(SalesData[[#This Row],[Profit]]/SalesData[[#This Row],[Revenue]],0)</f>
        <v>0.2115403906755359</v>
      </c>
      <c r="R370" s="3">
        <f>SalesData[[#This Row],[Revenue]]-SalesData[[#This Row],[Target]]</f>
        <v>168.53999999999996</v>
      </c>
      <c r="S370" s="3" t="str">
        <f t="shared" si="5"/>
        <v>Above Target</v>
      </c>
    </row>
    <row r="371" spans="1:19" ht="13.8">
      <c r="A371" t="s">
        <v>547</v>
      </c>
      <c r="B371" s="21">
        <v>45932</v>
      </c>
      <c r="C371" t="s">
        <v>67</v>
      </c>
      <c r="D371" t="s">
        <v>30</v>
      </c>
      <c r="E371" t="s">
        <v>207</v>
      </c>
      <c r="F371" t="s">
        <v>74</v>
      </c>
      <c r="G371" t="s">
        <v>45</v>
      </c>
      <c r="H371" t="s">
        <v>44</v>
      </c>
      <c r="I371">
        <v>6</v>
      </c>
      <c r="J371">
        <v>271.24</v>
      </c>
      <c r="K371">
        <v>0.1</v>
      </c>
      <c r="L371">
        <v>1464.7</v>
      </c>
      <c r="M371">
        <v>1036.3900000000001</v>
      </c>
      <c r="N371">
        <v>1494.15</v>
      </c>
      <c r="O371" s="3">
        <f>_xlfn.XLOOKUP(SalesData[[#This Row],[Product]],ProductLookup[Product],ProductLookup[Standard_Price],"Not Found")</f>
        <v>260</v>
      </c>
      <c r="P371" s="3">
        <f>SalesData[[#This Row],[Revenue]]-SalesData[[#This Row],[Cost]]</f>
        <v>428.30999999999995</v>
      </c>
      <c r="Q371" s="5">
        <f>IFERROR(SalesData[[#This Row],[Profit]]/SalesData[[#This Row],[Revenue]],0)</f>
        <v>0.29242165631187267</v>
      </c>
      <c r="R371" s="3">
        <f>SalesData[[#This Row],[Revenue]]-SalesData[[#This Row],[Target]]</f>
        <v>-29.450000000000045</v>
      </c>
      <c r="S371" s="3" t="str">
        <f t="shared" si="5"/>
        <v>Below Target</v>
      </c>
    </row>
    <row r="372" spans="1:19" ht="27.6">
      <c r="A372" t="s">
        <v>548</v>
      </c>
      <c r="B372" s="21">
        <v>46019</v>
      </c>
      <c r="C372" t="s">
        <v>67</v>
      </c>
      <c r="D372" t="s">
        <v>16</v>
      </c>
      <c r="E372" t="s">
        <v>305</v>
      </c>
      <c r="F372" t="s">
        <v>25</v>
      </c>
      <c r="G372" t="s">
        <v>33</v>
      </c>
      <c r="H372" t="s">
        <v>42</v>
      </c>
      <c r="I372">
        <v>11</v>
      </c>
      <c r="J372">
        <v>57.31</v>
      </c>
      <c r="K372">
        <v>0.03</v>
      </c>
      <c r="L372">
        <v>611.5</v>
      </c>
      <c r="M372">
        <v>368.04</v>
      </c>
      <c r="N372">
        <v>548.04999999999995</v>
      </c>
      <c r="O372" s="3">
        <f>_xlfn.XLOOKUP(SalesData[[#This Row],[Product]],ProductLookup[Product],ProductLookup[Standard_Price],"Not Found")</f>
        <v>60</v>
      </c>
      <c r="P372" s="3">
        <f>SalesData[[#This Row],[Revenue]]-SalesData[[#This Row],[Cost]]</f>
        <v>243.45999999999998</v>
      </c>
      <c r="Q372" s="5">
        <f>IFERROR(SalesData[[#This Row],[Profit]]/SalesData[[#This Row],[Revenue]],0)</f>
        <v>0.39813573180703188</v>
      </c>
      <c r="R372" s="3">
        <f>SalesData[[#This Row],[Revenue]]-SalesData[[#This Row],[Target]]</f>
        <v>63.450000000000045</v>
      </c>
      <c r="S372" s="3" t="str">
        <f t="shared" si="5"/>
        <v>Above Target</v>
      </c>
    </row>
    <row r="373" spans="1:19" ht="27.6">
      <c r="A373" t="s">
        <v>549</v>
      </c>
      <c r="B373" s="21">
        <v>45882</v>
      </c>
      <c r="C373" t="s">
        <v>22</v>
      </c>
      <c r="D373" t="s">
        <v>23</v>
      </c>
      <c r="E373" t="s">
        <v>283</v>
      </c>
      <c r="F373" t="s">
        <v>25</v>
      </c>
      <c r="G373" t="s">
        <v>26</v>
      </c>
      <c r="H373" t="s">
        <v>27</v>
      </c>
      <c r="I373">
        <v>4</v>
      </c>
      <c r="J373">
        <v>326.74</v>
      </c>
      <c r="K373">
        <v>0.08</v>
      </c>
      <c r="L373">
        <v>1202.4000000000001</v>
      </c>
      <c r="M373">
        <v>882.99</v>
      </c>
      <c r="N373">
        <v>1175.28</v>
      </c>
      <c r="O373" s="3">
        <f>_xlfn.XLOOKUP(SalesData[[#This Row],[Product]],ProductLookup[Product],ProductLookup[Standard_Price],"Not Found")</f>
        <v>320</v>
      </c>
      <c r="P373" s="3">
        <f>SalesData[[#This Row],[Revenue]]-SalesData[[#This Row],[Cost]]</f>
        <v>319.41000000000008</v>
      </c>
      <c r="Q373" s="5">
        <f>IFERROR(SalesData[[#This Row],[Profit]]/SalesData[[#This Row],[Revenue]],0)</f>
        <v>0.26564371257485037</v>
      </c>
      <c r="R373" s="3">
        <f>SalesData[[#This Row],[Revenue]]-SalesData[[#This Row],[Target]]</f>
        <v>27.120000000000118</v>
      </c>
      <c r="S373" s="3" t="str">
        <f t="shared" si="5"/>
        <v>Above Target</v>
      </c>
    </row>
    <row r="374" spans="1:19" ht="13.8">
      <c r="A374" t="s">
        <v>550</v>
      </c>
      <c r="B374" s="21">
        <v>45687</v>
      </c>
      <c r="C374" t="s">
        <v>15</v>
      </c>
      <c r="D374" t="s">
        <v>64</v>
      </c>
      <c r="E374" t="s">
        <v>76</v>
      </c>
      <c r="F374" t="s">
        <v>25</v>
      </c>
      <c r="G374" t="s">
        <v>19</v>
      </c>
      <c r="H374" t="s">
        <v>38</v>
      </c>
      <c r="I374">
        <v>7</v>
      </c>
      <c r="J374">
        <v>984.02</v>
      </c>
      <c r="K374">
        <v>0</v>
      </c>
      <c r="L374">
        <v>6888.14</v>
      </c>
      <c r="M374">
        <v>4207.08</v>
      </c>
      <c r="N374">
        <v>7487.62</v>
      </c>
      <c r="O374" s="3">
        <f>_xlfn.XLOOKUP(SalesData[[#This Row],[Product]],ProductLookup[Product],ProductLookup[Standard_Price],"Not Found")</f>
        <v>950</v>
      </c>
      <c r="P374" s="3">
        <f>SalesData[[#This Row],[Revenue]]-SalesData[[#This Row],[Cost]]</f>
        <v>2681.0600000000004</v>
      </c>
      <c r="Q374" s="5">
        <f>IFERROR(SalesData[[#This Row],[Profit]]/SalesData[[#This Row],[Revenue]],0)</f>
        <v>0.38922844193062284</v>
      </c>
      <c r="R374" s="3">
        <f>SalesData[[#This Row],[Revenue]]-SalesData[[#This Row],[Target]]</f>
        <v>-599.47999999999956</v>
      </c>
      <c r="S374" s="3" t="str">
        <f t="shared" si="5"/>
        <v>Below Target</v>
      </c>
    </row>
    <row r="375" spans="1:19" ht="13.8">
      <c r="A375" t="s">
        <v>551</v>
      </c>
      <c r="B375" s="21">
        <v>45665</v>
      </c>
      <c r="C375" t="s">
        <v>67</v>
      </c>
      <c r="D375" t="s">
        <v>23</v>
      </c>
      <c r="E375" t="s">
        <v>162</v>
      </c>
      <c r="F375" t="s">
        <v>25</v>
      </c>
      <c r="G375" t="s">
        <v>45</v>
      </c>
      <c r="H375" t="s">
        <v>46</v>
      </c>
      <c r="I375">
        <v>9</v>
      </c>
      <c r="J375">
        <v>348.06</v>
      </c>
      <c r="K375">
        <v>0.02</v>
      </c>
      <c r="L375">
        <v>3069.89</v>
      </c>
      <c r="M375">
        <v>2178.42</v>
      </c>
      <c r="N375">
        <v>3197.98</v>
      </c>
      <c r="O375" s="3">
        <f>_xlfn.XLOOKUP(SalesData[[#This Row],[Product]],ProductLookup[Product],ProductLookup[Standard_Price],"Not Found")</f>
        <v>340</v>
      </c>
      <c r="P375" s="3">
        <f>SalesData[[#This Row],[Revenue]]-SalesData[[#This Row],[Cost]]</f>
        <v>891.4699999999998</v>
      </c>
      <c r="Q375" s="5">
        <f>IFERROR(SalesData[[#This Row],[Profit]]/SalesData[[#This Row],[Revenue]],0)</f>
        <v>0.29039151239946703</v>
      </c>
      <c r="R375" s="3">
        <f>SalesData[[#This Row],[Revenue]]-SalesData[[#This Row],[Target]]</f>
        <v>-128.09000000000015</v>
      </c>
      <c r="S375" s="3" t="str">
        <f t="shared" si="5"/>
        <v>Below Target</v>
      </c>
    </row>
    <row r="376" spans="1:19" ht="27.6">
      <c r="A376" t="s">
        <v>552</v>
      </c>
      <c r="B376" s="21">
        <v>45732</v>
      </c>
      <c r="C376" t="s">
        <v>15</v>
      </c>
      <c r="D376" t="s">
        <v>16</v>
      </c>
      <c r="E376" t="s">
        <v>131</v>
      </c>
      <c r="F376" t="s">
        <v>25</v>
      </c>
      <c r="G376" t="s">
        <v>45</v>
      </c>
      <c r="H376" t="s">
        <v>47</v>
      </c>
      <c r="I376">
        <v>15</v>
      </c>
      <c r="J376">
        <v>429.04</v>
      </c>
      <c r="K376">
        <v>0.08</v>
      </c>
      <c r="L376">
        <v>5920.75</v>
      </c>
      <c r="M376">
        <v>3683.83</v>
      </c>
      <c r="N376">
        <v>5345.59</v>
      </c>
      <c r="O376" s="3">
        <f>_xlfn.XLOOKUP(SalesData[[#This Row],[Product]],ProductLookup[Product],ProductLookup[Standard_Price],"Not Found")</f>
        <v>420</v>
      </c>
      <c r="P376" s="3">
        <f>SalesData[[#This Row],[Revenue]]-SalesData[[#This Row],[Cost]]</f>
        <v>2236.92</v>
      </c>
      <c r="Q376" s="5">
        <f>IFERROR(SalesData[[#This Row],[Profit]]/SalesData[[#This Row],[Revenue]],0)</f>
        <v>0.37781024363467469</v>
      </c>
      <c r="R376" s="3">
        <f>SalesData[[#This Row],[Revenue]]-SalesData[[#This Row],[Target]]</f>
        <v>575.15999999999985</v>
      </c>
      <c r="S376" s="3" t="str">
        <f t="shared" si="5"/>
        <v>Above Target</v>
      </c>
    </row>
    <row r="377" spans="1:19" ht="13.8">
      <c r="A377" t="s">
        <v>553</v>
      </c>
      <c r="B377" s="21">
        <v>45995</v>
      </c>
      <c r="C377" t="s">
        <v>29</v>
      </c>
      <c r="D377" t="s">
        <v>16</v>
      </c>
      <c r="E377" t="s">
        <v>96</v>
      </c>
      <c r="F377" t="s">
        <v>74</v>
      </c>
      <c r="G377" t="s">
        <v>26</v>
      </c>
      <c r="H377" t="s">
        <v>27</v>
      </c>
      <c r="I377">
        <v>12</v>
      </c>
      <c r="J377">
        <v>332.99</v>
      </c>
      <c r="K377">
        <v>0.1</v>
      </c>
      <c r="L377">
        <v>3596.29</v>
      </c>
      <c r="M377">
        <v>2493.69</v>
      </c>
      <c r="N377">
        <v>3914.06</v>
      </c>
      <c r="O377" s="3">
        <f>_xlfn.XLOOKUP(SalesData[[#This Row],[Product]],ProductLookup[Product],ProductLookup[Standard_Price],"Not Found")</f>
        <v>320</v>
      </c>
      <c r="P377" s="3">
        <f>SalesData[[#This Row],[Revenue]]-SalesData[[#This Row],[Cost]]</f>
        <v>1102.5999999999999</v>
      </c>
      <c r="Q377" s="5">
        <f>IFERROR(SalesData[[#This Row],[Profit]]/SalesData[[#This Row],[Revenue]],0)</f>
        <v>0.30659373965948239</v>
      </c>
      <c r="R377" s="3">
        <f>SalesData[[#This Row],[Revenue]]-SalesData[[#This Row],[Target]]</f>
        <v>-317.77</v>
      </c>
      <c r="S377" s="3" t="str">
        <f t="shared" si="5"/>
        <v>Below Target</v>
      </c>
    </row>
    <row r="378" spans="1:19" ht="13.8">
      <c r="A378" t="s">
        <v>554</v>
      </c>
      <c r="B378" s="21">
        <v>45808</v>
      </c>
      <c r="C378" t="s">
        <v>67</v>
      </c>
      <c r="D378" t="s">
        <v>30</v>
      </c>
      <c r="E378" t="s">
        <v>120</v>
      </c>
      <c r="F378" t="s">
        <v>25</v>
      </c>
      <c r="G378" t="s">
        <v>45</v>
      </c>
      <c r="H378" t="s">
        <v>47</v>
      </c>
      <c r="I378">
        <v>4</v>
      </c>
      <c r="J378">
        <v>435.74</v>
      </c>
      <c r="K378">
        <v>0.03</v>
      </c>
      <c r="L378">
        <v>1690.67</v>
      </c>
      <c r="M378">
        <v>1277.3499999999999</v>
      </c>
      <c r="N378">
        <v>1779.68</v>
      </c>
      <c r="O378" s="3">
        <f>_xlfn.XLOOKUP(SalesData[[#This Row],[Product]],ProductLookup[Product],ProductLookup[Standard_Price],"Not Found")</f>
        <v>420</v>
      </c>
      <c r="P378" s="3">
        <f>SalesData[[#This Row],[Revenue]]-SalesData[[#This Row],[Cost]]</f>
        <v>413.32000000000016</v>
      </c>
      <c r="Q378" s="5">
        <f>IFERROR(SalesData[[#This Row],[Profit]]/SalesData[[#This Row],[Revenue]],0)</f>
        <v>0.24447112683137462</v>
      </c>
      <c r="R378" s="3">
        <f>SalesData[[#This Row],[Revenue]]-SalesData[[#This Row],[Target]]</f>
        <v>-89.009999999999991</v>
      </c>
      <c r="S378" s="3" t="str">
        <f t="shared" si="5"/>
        <v>Below Target</v>
      </c>
    </row>
    <row r="379" spans="1:19" ht="27.6">
      <c r="A379" t="s">
        <v>555</v>
      </c>
      <c r="B379" s="21">
        <v>45735</v>
      </c>
      <c r="C379" t="s">
        <v>29</v>
      </c>
      <c r="D379" t="s">
        <v>82</v>
      </c>
      <c r="E379" t="s">
        <v>270</v>
      </c>
      <c r="F379" t="s">
        <v>25</v>
      </c>
      <c r="G379" t="s">
        <v>45</v>
      </c>
      <c r="H379" t="s">
        <v>47</v>
      </c>
      <c r="I379">
        <v>11</v>
      </c>
      <c r="J379">
        <v>440.16</v>
      </c>
      <c r="K379">
        <v>0.05</v>
      </c>
      <c r="L379">
        <v>4599.67</v>
      </c>
      <c r="M379">
        <v>3745.6</v>
      </c>
      <c r="N379">
        <v>4409.37</v>
      </c>
      <c r="O379" s="3">
        <f>_xlfn.XLOOKUP(SalesData[[#This Row],[Product]],ProductLookup[Product],ProductLookup[Standard_Price],"Not Found")</f>
        <v>420</v>
      </c>
      <c r="P379" s="3">
        <f>SalesData[[#This Row],[Revenue]]-SalesData[[#This Row],[Cost]]</f>
        <v>854.07000000000016</v>
      </c>
      <c r="Q379" s="5">
        <f>IFERROR(SalesData[[#This Row],[Profit]]/SalesData[[#This Row],[Revenue]],0)</f>
        <v>0.18568071187715643</v>
      </c>
      <c r="R379" s="3">
        <f>SalesData[[#This Row],[Revenue]]-SalesData[[#This Row],[Target]]</f>
        <v>190.30000000000018</v>
      </c>
      <c r="S379" s="3" t="str">
        <f t="shared" si="5"/>
        <v>Above Target</v>
      </c>
    </row>
    <row r="380" spans="1:19" ht="27.6">
      <c r="A380" t="s">
        <v>556</v>
      </c>
      <c r="B380" s="21">
        <v>45993</v>
      </c>
      <c r="C380" t="s">
        <v>67</v>
      </c>
      <c r="D380" t="s">
        <v>82</v>
      </c>
      <c r="E380" t="s">
        <v>156</v>
      </c>
      <c r="F380" t="s">
        <v>18</v>
      </c>
      <c r="G380" t="s">
        <v>33</v>
      </c>
      <c r="H380" t="s">
        <v>42</v>
      </c>
      <c r="I380">
        <v>12</v>
      </c>
      <c r="J380">
        <v>57.56</v>
      </c>
      <c r="K380">
        <v>0.05</v>
      </c>
      <c r="L380">
        <v>656.18</v>
      </c>
      <c r="M380">
        <v>415.21</v>
      </c>
      <c r="N380">
        <v>606.41</v>
      </c>
      <c r="O380" s="3">
        <f>_xlfn.XLOOKUP(SalesData[[#This Row],[Product]],ProductLookup[Product],ProductLookup[Standard_Price],"Not Found")</f>
        <v>60</v>
      </c>
      <c r="P380" s="3">
        <f>SalesData[[#This Row],[Revenue]]-SalesData[[#This Row],[Cost]]</f>
        <v>240.96999999999997</v>
      </c>
      <c r="Q380" s="5">
        <f>IFERROR(SalesData[[#This Row],[Profit]]/SalesData[[#This Row],[Revenue]],0)</f>
        <v>0.36723155231796151</v>
      </c>
      <c r="R380" s="3">
        <f>SalesData[[#This Row],[Revenue]]-SalesData[[#This Row],[Target]]</f>
        <v>49.769999999999982</v>
      </c>
      <c r="S380" s="3" t="str">
        <f t="shared" si="5"/>
        <v>Above Target</v>
      </c>
    </row>
    <row r="381" spans="1:19" ht="13.8">
      <c r="A381" t="s">
        <v>557</v>
      </c>
      <c r="B381" s="21">
        <v>45677</v>
      </c>
      <c r="C381" t="s">
        <v>15</v>
      </c>
      <c r="D381" t="s">
        <v>30</v>
      </c>
      <c r="E381" t="s">
        <v>170</v>
      </c>
      <c r="F381" t="s">
        <v>32</v>
      </c>
      <c r="G381" t="s">
        <v>26</v>
      </c>
      <c r="H381" t="s">
        <v>40</v>
      </c>
      <c r="I381">
        <v>2</v>
      </c>
      <c r="J381">
        <v>457.09</v>
      </c>
      <c r="K381">
        <v>0.02</v>
      </c>
      <c r="L381">
        <v>895.9</v>
      </c>
      <c r="M381">
        <v>733.87</v>
      </c>
      <c r="N381">
        <v>990.38</v>
      </c>
      <c r="O381" s="3">
        <f>_xlfn.XLOOKUP(SalesData[[#This Row],[Product]],ProductLookup[Product],ProductLookup[Standard_Price],"Not Found")</f>
        <v>450</v>
      </c>
      <c r="P381" s="3">
        <f>SalesData[[#This Row],[Revenue]]-SalesData[[#This Row],[Cost]]</f>
        <v>162.02999999999997</v>
      </c>
      <c r="Q381" s="5">
        <f>IFERROR(SalesData[[#This Row],[Profit]]/SalesData[[#This Row],[Revenue]],0)</f>
        <v>0.18085723853108604</v>
      </c>
      <c r="R381" s="3">
        <f>SalesData[[#This Row],[Revenue]]-SalesData[[#This Row],[Target]]</f>
        <v>-94.480000000000018</v>
      </c>
      <c r="S381" s="3" t="str">
        <f t="shared" si="5"/>
        <v>Below Target</v>
      </c>
    </row>
    <row r="382" spans="1:19" ht="27.6">
      <c r="A382" t="s">
        <v>558</v>
      </c>
      <c r="B382" s="21">
        <v>45667</v>
      </c>
      <c r="C382" t="s">
        <v>67</v>
      </c>
      <c r="D382" t="s">
        <v>64</v>
      </c>
      <c r="E382" t="s">
        <v>326</v>
      </c>
      <c r="F382" t="s">
        <v>18</v>
      </c>
      <c r="G382" t="s">
        <v>45</v>
      </c>
      <c r="H382" t="s">
        <v>47</v>
      </c>
      <c r="I382">
        <v>13</v>
      </c>
      <c r="J382">
        <v>419.86</v>
      </c>
      <c r="K382">
        <v>0</v>
      </c>
      <c r="L382">
        <v>5458.18</v>
      </c>
      <c r="M382">
        <v>3515.68</v>
      </c>
      <c r="N382">
        <v>5169.99</v>
      </c>
      <c r="O382" s="3">
        <f>_xlfn.XLOOKUP(SalesData[[#This Row],[Product]],ProductLookup[Product],ProductLookup[Standard_Price],"Not Found")</f>
        <v>420</v>
      </c>
      <c r="P382" s="3">
        <f>SalesData[[#This Row],[Revenue]]-SalesData[[#This Row],[Cost]]</f>
        <v>1942.5000000000005</v>
      </c>
      <c r="Q382" s="5">
        <f>IFERROR(SalesData[[#This Row],[Profit]]/SalesData[[#This Row],[Revenue]],0)</f>
        <v>0.35588786005591616</v>
      </c>
      <c r="R382" s="3">
        <f>SalesData[[#This Row],[Revenue]]-SalesData[[#This Row],[Target]]</f>
        <v>288.19000000000051</v>
      </c>
      <c r="S382" s="3" t="str">
        <f t="shared" si="5"/>
        <v>Above Target</v>
      </c>
    </row>
    <row r="383" spans="1:19" ht="27.6">
      <c r="A383" t="s">
        <v>559</v>
      </c>
      <c r="B383" s="21">
        <v>45761</v>
      </c>
      <c r="C383" t="s">
        <v>15</v>
      </c>
      <c r="D383" t="s">
        <v>16</v>
      </c>
      <c r="E383" t="s">
        <v>145</v>
      </c>
      <c r="F383" t="s">
        <v>25</v>
      </c>
      <c r="G383" t="s">
        <v>19</v>
      </c>
      <c r="H383" t="s">
        <v>38</v>
      </c>
      <c r="I383">
        <v>8</v>
      </c>
      <c r="J383">
        <v>928.26</v>
      </c>
      <c r="K383">
        <v>0.02</v>
      </c>
      <c r="L383">
        <v>7277.56</v>
      </c>
      <c r="M383">
        <v>5293.21</v>
      </c>
      <c r="N383">
        <v>6928</v>
      </c>
      <c r="O383" s="3">
        <f>_xlfn.XLOOKUP(SalesData[[#This Row],[Product]],ProductLookup[Product],ProductLookup[Standard_Price],"Not Found")</f>
        <v>950</v>
      </c>
      <c r="P383" s="3">
        <f>SalesData[[#This Row],[Revenue]]-SalesData[[#This Row],[Cost]]</f>
        <v>1984.3500000000004</v>
      </c>
      <c r="Q383" s="5">
        <f>IFERROR(SalesData[[#This Row],[Profit]]/SalesData[[#This Row],[Revenue]],0)</f>
        <v>0.27266693781981877</v>
      </c>
      <c r="R383" s="3">
        <f>SalesData[[#This Row],[Revenue]]-SalesData[[#This Row],[Target]]</f>
        <v>349.5600000000004</v>
      </c>
      <c r="S383" s="3" t="str">
        <f t="shared" si="5"/>
        <v>Above Target</v>
      </c>
    </row>
    <row r="384" spans="1:19" ht="27.6">
      <c r="A384" t="s">
        <v>560</v>
      </c>
      <c r="B384" s="21">
        <v>45735</v>
      </c>
      <c r="C384" t="s">
        <v>67</v>
      </c>
      <c r="D384" t="s">
        <v>82</v>
      </c>
      <c r="E384" t="s">
        <v>153</v>
      </c>
      <c r="F384" t="s">
        <v>25</v>
      </c>
      <c r="G384" t="s">
        <v>45</v>
      </c>
      <c r="H384" t="s">
        <v>44</v>
      </c>
      <c r="I384">
        <v>5</v>
      </c>
      <c r="J384">
        <v>248.3</v>
      </c>
      <c r="K384">
        <v>0.03</v>
      </c>
      <c r="L384">
        <v>1204.25</v>
      </c>
      <c r="M384">
        <v>815.34</v>
      </c>
      <c r="N384">
        <v>1198.77</v>
      </c>
      <c r="O384" s="3">
        <f>_xlfn.XLOOKUP(SalesData[[#This Row],[Product]],ProductLookup[Product],ProductLookup[Standard_Price],"Not Found")</f>
        <v>260</v>
      </c>
      <c r="P384" s="3">
        <f>SalesData[[#This Row],[Revenue]]-SalesData[[#This Row],[Cost]]</f>
        <v>388.90999999999997</v>
      </c>
      <c r="Q384" s="5">
        <f>IFERROR(SalesData[[#This Row],[Profit]]/SalesData[[#This Row],[Revenue]],0)</f>
        <v>0.32294789287938547</v>
      </c>
      <c r="R384" s="3">
        <f>SalesData[[#This Row],[Revenue]]-SalesData[[#This Row],[Target]]</f>
        <v>5.4800000000000182</v>
      </c>
      <c r="S384" s="3" t="str">
        <f t="shared" si="5"/>
        <v>Above Target</v>
      </c>
    </row>
    <row r="385" spans="1:19" ht="27.6">
      <c r="A385" t="s">
        <v>561</v>
      </c>
      <c r="B385" s="21">
        <v>45714</v>
      </c>
      <c r="C385" t="s">
        <v>15</v>
      </c>
      <c r="D385" t="s">
        <v>23</v>
      </c>
      <c r="E385" t="s">
        <v>168</v>
      </c>
      <c r="F385" t="s">
        <v>74</v>
      </c>
      <c r="G385" t="s">
        <v>45</v>
      </c>
      <c r="H385" t="s">
        <v>47</v>
      </c>
      <c r="I385">
        <v>14</v>
      </c>
      <c r="J385">
        <v>411.53</v>
      </c>
      <c r="K385">
        <v>0</v>
      </c>
      <c r="L385">
        <v>5761.42</v>
      </c>
      <c r="M385">
        <v>4374.12</v>
      </c>
      <c r="N385">
        <v>5699.17</v>
      </c>
      <c r="O385" s="3">
        <f>_xlfn.XLOOKUP(SalesData[[#This Row],[Product]],ProductLookup[Product],ProductLookup[Standard_Price],"Not Found")</f>
        <v>420</v>
      </c>
      <c r="P385" s="3">
        <f>SalesData[[#This Row],[Revenue]]-SalesData[[#This Row],[Cost]]</f>
        <v>1387.3000000000002</v>
      </c>
      <c r="Q385" s="5">
        <f>IFERROR(SalesData[[#This Row],[Profit]]/SalesData[[#This Row],[Revenue]],0)</f>
        <v>0.2407913326922877</v>
      </c>
      <c r="R385" s="3">
        <f>SalesData[[#This Row],[Revenue]]-SalesData[[#This Row],[Target]]</f>
        <v>62.25</v>
      </c>
      <c r="S385" s="3" t="str">
        <f t="shared" si="5"/>
        <v>Above Target</v>
      </c>
    </row>
    <row r="386" spans="1:19" ht="13.8">
      <c r="A386" t="s">
        <v>562</v>
      </c>
      <c r="B386" s="21">
        <v>45894</v>
      </c>
      <c r="C386" t="s">
        <v>29</v>
      </c>
      <c r="D386" t="s">
        <v>68</v>
      </c>
      <c r="E386" t="s">
        <v>195</v>
      </c>
      <c r="F386" t="s">
        <v>32</v>
      </c>
      <c r="G386" t="s">
        <v>19</v>
      </c>
      <c r="H386" t="s">
        <v>20</v>
      </c>
      <c r="I386">
        <v>1</v>
      </c>
      <c r="J386">
        <v>810.87</v>
      </c>
      <c r="K386">
        <v>0.08</v>
      </c>
      <c r="L386">
        <v>746</v>
      </c>
      <c r="M386">
        <v>463.56</v>
      </c>
      <c r="N386">
        <v>772.29</v>
      </c>
      <c r="O386" s="3">
        <f>_xlfn.XLOOKUP(SalesData[[#This Row],[Product]],ProductLookup[Product],ProductLookup[Standard_Price],"Not Found")</f>
        <v>850</v>
      </c>
      <c r="P386" s="3">
        <f>SalesData[[#This Row],[Revenue]]-SalesData[[#This Row],[Cost]]</f>
        <v>282.44</v>
      </c>
      <c r="Q386" s="5">
        <f>IFERROR(SalesData[[#This Row],[Profit]]/SalesData[[#This Row],[Revenue]],0)</f>
        <v>0.3786058981233244</v>
      </c>
      <c r="R386" s="3">
        <f>SalesData[[#This Row],[Revenue]]-SalesData[[#This Row],[Target]]</f>
        <v>-26.289999999999964</v>
      </c>
      <c r="S386" s="3" t="str">
        <f t="shared" ref="S386:S449" si="6">IF(R386&gt;=0,"Above Target","Below Target")</f>
        <v>Below Target</v>
      </c>
    </row>
    <row r="387" spans="1:19" ht="13.8">
      <c r="A387" t="s">
        <v>563</v>
      </c>
      <c r="B387" s="21">
        <v>45697</v>
      </c>
      <c r="C387" t="s">
        <v>15</v>
      </c>
      <c r="D387" t="s">
        <v>30</v>
      </c>
      <c r="E387" t="s">
        <v>17</v>
      </c>
      <c r="F387" t="s">
        <v>74</v>
      </c>
      <c r="G387" t="s">
        <v>26</v>
      </c>
      <c r="H387" t="s">
        <v>40</v>
      </c>
      <c r="I387">
        <v>12</v>
      </c>
      <c r="J387">
        <v>457.34</v>
      </c>
      <c r="K387">
        <v>0.02</v>
      </c>
      <c r="L387">
        <v>5378.32</v>
      </c>
      <c r="M387">
        <v>3652.29</v>
      </c>
      <c r="N387">
        <v>5588.39</v>
      </c>
      <c r="O387" s="3">
        <f>_xlfn.XLOOKUP(SalesData[[#This Row],[Product]],ProductLookup[Product],ProductLookup[Standard_Price],"Not Found")</f>
        <v>450</v>
      </c>
      <c r="P387" s="3">
        <f>SalesData[[#This Row],[Revenue]]-SalesData[[#This Row],[Cost]]</f>
        <v>1726.0299999999997</v>
      </c>
      <c r="Q387" s="5">
        <f>IFERROR(SalesData[[#This Row],[Profit]]/SalesData[[#This Row],[Revenue]],0)</f>
        <v>0.32092363414597863</v>
      </c>
      <c r="R387" s="3">
        <f>SalesData[[#This Row],[Revenue]]-SalesData[[#This Row],[Target]]</f>
        <v>-210.07000000000062</v>
      </c>
      <c r="S387" s="3" t="str">
        <f t="shared" si="6"/>
        <v>Below Target</v>
      </c>
    </row>
    <row r="388" spans="1:19" ht="27.6">
      <c r="A388" t="s">
        <v>564</v>
      </c>
      <c r="B388" s="21">
        <v>45813</v>
      </c>
      <c r="C388" t="s">
        <v>15</v>
      </c>
      <c r="D388" t="s">
        <v>30</v>
      </c>
      <c r="E388" t="s">
        <v>172</v>
      </c>
      <c r="F388" t="s">
        <v>25</v>
      </c>
      <c r="G388" t="s">
        <v>19</v>
      </c>
      <c r="H388" t="s">
        <v>38</v>
      </c>
      <c r="I388">
        <v>5</v>
      </c>
      <c r="J388">
        <v>911.43</v>
      </c>
      <c r="K388">
        <v>0.02</v>
      </c>
      <c r="L388">
        <v>4466.01</v>
      </c>
      <c r="M388">
        <v>2794.63</v>
      </c>
      <c r="N388">
        <v>4461.8599999999997</v>
      </c>
      <c r="O388" s="3">
        <f>_xlfn.XLOOKUP(SalesData[[#This Row],[Product]],ProductLookup[Product],ProductLookup[Standard_Price],"Not Found")</f>
        <v>950</v>
      </c>
      <c r="P388" s="3">
        <f>SalesData[[#This Row],[Revenue]]-SalesData[[#This Row],[Cost]]</f>
        <v>1671.38</v>
      </c>
      <c r="Q388" s="5">
        <f>IFERROR(SalesData[[#This Row],[Profit]]/SalesData[[#This Row],[Revenue]],0)</f>
        <v>0.37424457177659703</v>
      </c>
      <c r="R388" s="3">
        <f>SalesData[[#This Row],[Revenue]]-SalesData[[#This Row],[Target]]</f>
        <v>4.1500000000005457</v>
      </c>
      <c r="S388" s="3" t="str">
        <f t="shared" si="6"/>
        <v>Above Target</v>
      </c>
    </row>
    <row r="389" spans="1:19" ht="27.6">
      <c r="A389" t="s">
        <v>565</v>
      </c>
      <c r="B389" s="21">
        <v>45741</v>
      </c>
      <c r="C389" t="s">
        <v>22</v>
      </c>
      <c r="D389" t="s">
        <v>64</v>
      </c>
      <c r="E389" t="s">
        <v>190</v>
      </c>
      <c r="F389" t="s">
        <v>25</v>
      </c>
      <c r="G389" t="s">
        <v>33</v>
      </c>
      <c r="H389" t="s">
        <v>43</v>
      </c>
      <c r="I389">
        <v>9</v>
      </c>
      <c r="J389">
        <v>71.569999999999993</v>
      </c>
      <c r="K389">
        <v>0.03</v>
      </c>
      <c r="L389">
        <v>624.80999999999995</v>
      </c>
      <c r="M389">
        <v>425.32</v>
      </c>
      <c r="N389">
        <v>579.48</v>
      </c>
      <c r="O389" s="3">
        <f>_xlfn.XLOOKUP(SalesData[[#This Row],[Product]],ProductLookup[Product],ProductLookup[Standard_Price],"Not Found")</f>
        <v>75</v>
      </c>
      <c r="P389" s="3">
        <f>SalesData[[#This Row],[Revenue]]-SalesData[[#This Row],[Cost]]</f>
        <v>199.48999999999995</v>
      </c>
      <c r="Q389" s="5">
        <f>IFERROR(SalesData[[#This Row],[Profit]]/SalesData[[#This Row],[Revenue]],0)</f>
        <v>0.31928106144267854</v>
      </c>
      <c r="R389" s="3">
        <f>SalesData[[#This Row],[Revenue]]-SalesData[[#This Row],[Target]]</f>
        <v>45.329999999999927</v>
      </c>
      <c r="S389" s="3" t="str">
        <f t="shared" si="6"/>
        <v>Above Target</v>
      </c>
    </row>
    <row r="390" spans="1:19" ht="27.6">
      <c r="A390" t="s">
        <v>566</v>
      </c>
      <c r="B390" s="21">
        <v>45780</v>
      </c>
      <c r="C390" t="s">
        <v>15</v>
      </c>
      <c r="D390" t="s">
        <v>68</v>
      </c>
      <c r="E390" t="s">
        <v>108</v>
      </c>
      <c r="F390" t="s">
        <v>25</v>
      </c>
      <c r="G390" t="s">
        <v>45</v>
      </c>
      <c r="H390" t="s">
        <v>46</v>
      </c>
      <c r="I390">
        <v>14</v>
      </c>
      <c r="J390">
        <v>341.18</v>
      </c>
      <c r="K390">
        <v>0.02</v>
      </c>
      <c r="L390">
        <v>4680.99</v>
      </c>
      <c r="M390">
        <v>3725.76</v>
      </c>
      <c r="N390">
        <v>4136.25</v>
      </c>
      <c r="O390" s="3">
        <f>_xlfn.XLOOKUP(SalesData[[#This Row],[Product]],ProductLookup[Product],ProductLookup[Standard_Price],"Not Found")</f>
        <v>340</v>
      </c>
      <c r="P390" s="3">
        <f>SalesData[[#This Row],[Revenue]]-SalesData[[#This Row],[Cost]]</f>
        <v>955.22999999999956</v>
      </c>
      <c r="Q390" s="5">
        <f>IFERROR(SalesData[[#This Row],[Profit]]/SalesData[[#This Row],[Revenue]],0)</f>
        <v>0.20406580659219517</v>
      </c>
      <c r="R390" s="3">
        <f>SalesData[[#This Row],[Revenue]]-SalesData[[#This Row],[Target]]</f>
        <v>544.73999999999978</v>
      </c>
      <c r="S390" s="3" t="str">
        <f t="shared" si="6"/>
        <v>Above Target</v>
      </c>
    </row>
    <row r="391" spans="1:19" ht="27.6">
      <c r="A391" t="s">
        <v>567</v>
      </c>
      <c r="B391" s="21">
        <v>46010</v>
      </c>
      <c r="C391" t="s">
        <v>15</v>
      </c>
      <c r="D391" t="s">
        <v>68</v>
      </c>
      <c r="E391" t="s">
        <v>180</v>
      </c>
      <c r="F391" t="s">
        <v>18</v>
      </c>
      <c r="G391" t="s">
        <v>45</v>
      </c>
      <c r="H391" t="s">
        <v>46</v>
      </c>
      <c r="I391">
        <v>4</v>
      </c>
      <c r="J391">
        <v>325.95999999999998</v>
      </c>
      <c r="K391">
        <v>0.02</v>
      </c>
      <c r="L391">
        <v>1277.76</v>
      </c>
      <c r="M391">
        <v>809.85</v>
      </c>
      <c r="N391">
        <v>1205.44</v>
      </c>
      <c r="O391" s="3">
        <f>_xlfn.XLOOKUP(SalesData[[#This Row],[Product]],ProductLookup[Product],ProductLookup[Standard_Price],"Not Found")</f>
        <v>340</v>
      </c>
      <c r="P391" s="3">
        <f>SalesData[[#This Row],[Revenue]]-SalesData[[#This Row],[Cost]]</f>
        <v>467.90999999999997</v>
      </c>
      <c r="Q391" s="5">
        <f>IFERROR(SalesData[[#This Row],[Profit]]/SalesData[[#This Row],[Revenue]],0)</f>
        <v>0.36619552967693464</v>
      </c>
      <c r="R391" s="3">
        <f>SalesData[[#This Row],[Revenue]]-SalesData[[#This Row],[Target]]</f>
        <v>72.319999999999936</v>
      </c>
      <c r="S391" s="3" t="str">
        <f t="shared" si="6"/>
        <v>Above Target</v>
      </c>
    </row>
    <row r="392" spans="1:19" ht="27.6">
      <c r="A392" t="s">
        <v>568</v>
      </c>
      <c r="B392" s="21">
        <v>45807</v>
      </c>
      <c r="C392" t="s">
        <v>15</v>
      </c>
      <c r="D392" t="s">
        <v>23</v>
      </c>
      <c r="E392" t="s">
        <v>481</v>
      </c>
      <c r="F392" t="s">
        <v>32</v>
      </c>
      <c r="G392" t="s">
        <v>33</v>
      </c>
      <c r="H392" t="s">
        <v>43</v>
      </c>
      <c r="I392">
        <v>15</v>
      </c>
      <c r="J392">
        <v>72.16</v>
      </c>
      <c r="K392">
        <v>0.1</v>
      </c>
      <c r="L392">
        <v>974.16</v>
      </c>
      <c r="M392">
        <v>708.48</v>
      </c>
      <c r="N392">
        <v>911.95</v>
      </c>
      <c r="O392" s="3">
        <f>_xlfn.XLOOKUP(SalesData[[#This Row],[Product]],ProductLookup[Product],ProductLookup[Standard_Price],"Not Found")</f>
        <v>75</v>
      </c>
      <c r="P392" s="3">
        <f>SalesData[[#This Row],[Revenue]]-SalesData[[#This Row],[Cost]]</f>
        <v>265.67999999999995</v>
      </c>
      <c r="Q392" s="5">
        <f>IFERROR(SalesData[[#This Row],[Profit]]/SalesData[[#This Row],[Revenue]],0)</f>
        <v>0.27272727272727271</v>
      </c>
      <c r="R392" s="3">
        <f>SalesData[[#This Row],[Revenue]]-SalesData[[#This Row],[Target]]</f>
        <v>62.209999999999923</v>
      </c>
      <c r="S392" s="3" t="str">
        <f t="shared" si="6"/>
        <v>Above Target</v>
      </c>
    </row>
    <row r="393" spans="1:19" ht="27.6">
      <c r="A393" t="s">
        <v>569</v>
      </c>
      <c r="B393" s="21">
        <v>45708</v>
      </c>
      <c r="C393" t="s">
        <v>15</v>
      </c>
      <c r="D393" t="s">
        <v>68</v>
      </c>
      <c r="E393" t="s">
        <v>494</v>
      </c>
      <c r="F393" t="s">
        <v>25</v>
      </c>
      <c r="G393" t="s">
        <v>19</v>
      </c>
      <c r="H393" t="s">
        <v>20</v>
      </c>
      <c r="I393">
        <v>4</v>
      </c>
      <c r="J393">
        <v>860.05</v>
      </c>
      <c r="K393">
        <v>0.1</v>
      </c>
      <c r="L393">
        <v>3096.18</v>
      </c>
      <c r="M393">
        <v>1976.71</v>
      </c>
      <c r="N393">
        <v>2950.24</v>
      </c>
      <c r="O393" s="3">
        <f>_xlfn.XLOOKUP(SalesData[[#This Row],[Product]],ProductLookup[Product],ProductLookup[Standard_Price],"Not Found")</f>
        <v>850</v>
      </c>
      <c r="P393" s="3">
        <f>SalesData[[#This Row],[Revenue]]-SalesData[[#This Row],[Cost]]</f>
        <v>1119.4699999999998</v>
      </c>
      <c r="Q393" s="5">
        <f>IFERROR(SalesData[[#This Row],[Profit]]/SalesData[[#This Row],[Revenue]],0)</f>
        <v>0.36156489609777204</v>
      </c>
      <c r="R393" s="3">
        <f>SalesData[[#This Row],[Revenue]]-SalesData[[#This Row],[Target]]</f>
        <v>145.94000000000005</v>
      </c>
      <c r="S393" s="3" t="str">
        <f t="shared" si="6"/>
        <v>Above Target</v>
      </c>
    </row>
    <row r="394" spans="1:19" ht="13.8">
      <c r="A394" t="s">
        <v>570</v>
      </c>
      <c r="B394" s="21">
        <v>45663</v>
      </c>
      <c r="C394" t="s">
        <v>29</v>
      </c>
      <c r="D394" t="s">
        <v>82</v>
      </c>
      <c r="E394" t="s">
        <v>336</v>
      </c>
      <c r="F394" t="s">
        <v>25</v>
      </c>
      <c r="G394" t="s">
        <v>26</v>
      </c>
      <c r="H394" t="s">
        <v>40</v>
      </c>
      <c r="I394">
        <v>15</v>
      </c>
      <c r="J394">
        <v>446.04</v>
      </c>
      <c r="K394">
        <v>0.05</v>
      </c>
      <c r="L394">
        <v>6356.07</v>
      </c>
      <c r="M394">
        <v>3858.72</v>
      </c>
      <c r="N394">
        <v>6796.34</v>
      </c>
      <c r="O394" s="3">
        <f>_xlfn.XLOOKUP(SalesData[[#This Row],[Product]],ProductLookup[Product],ProductLookup[Standard_Price],"Not Found")</f>
        <v>450</v>
      </c>
      <c r="P394" s="3">
        <f>SalesData[[#This Row],[Revenue]]-SalesData[[#This Row],[Cost]]</f>
        <v>2497.35</v>
      </c>
      <c r="Q394" s="5">
        <f>IFERROR(SalesData[[#This Row],[Profit]]/SalesData[[#This Row],[Revenue]],0)</f>
        <v>0.39290788175712349</v>
      </c>
      <c r="R394" s="3">
        <f>SalesData[[#This Row],[Revenue]]-SalesData[[#This Row],[Target]]</f>
        <v>-440.27000000000044</v>
      </c>
      <c r="S394" s="3" t="str">
        <f t="shared" si="6"/>
        <v>Below Target</v>
      </c>
    </row>
    <row r="395" spans="1:19" ht="27.6">
      <c r="A395" t="s">
        <v>571</v>
      </c>
      <c r="B395" s="21">
        <v>45735</v>
      </c>
      <c r="C395" t="s">
        <v>67</v>
      </c>
      <c r="D395" t="s">
        <v>82</v>
      </c>
      <c r="E395" t="s">
        <v>218</v>
      </c>
      <c r="F395" t="s">
        <v>18</v>
      </c>
      <c r="G395" t="s">
        <v>45</v>
      </c>
      <c r="H395" t="s">
        <v>47</v>
      </c>
      <c r="I395">
        <v>6</v>
      </c>
      <c r="J395">
        <v>431.35</v>
      </c>
      <c r="K395">
        <v>0.02</v>
      </c>
      <c r="L395">
        <v>2536.34</v>
      </c>
      <c r="M395">
        <v>1632.4</v>
      </c>
      <c r="N395">
        <v>2365.6799999999998</v>
      </c>
      <c r="O395" s="3">
        <f>_xlfn.XLOOKUP(SalesData[[#This Row],[Product]],ProductLookup[Product],ProductLookup[Standard_Price],"Not Found")</f>
        <v>420</v>
      </c>
      <c r="P395" s="3">
        <f>SalesData[[#This Row],[Revenue]]-SalesData[[#This Row],[Cost]]</f>
        <v>903.94</v>
      </c>
      <c r="Q395" s="5">
        <f>IFERROR(SalesData[[#This Row],[Profit]]/SalesData[[#This Row],[Revenue]],0)</f>
        <v>0.35639543594313067</v>
      </c>
      <c r="R395" s="3">
        <f>SalesData[[#This Row],[Revenue]]-SalesData[[#This Row],[Target]]</f>
        <v>170.66000000000031</v>
      </c>
      <c r="S395" s="3" t="str">
        <f t="shared" si="6"/>
        <v>Above Target</v>
      </c>
    </row>
    <row r="396" spans="1:19" ht="13.8">
      <c r="A396" t="s">
        <v>572</v>
      </c>
      <c r="B396" s="21">
        <v>45903</v>
      </c>
      <c r="C396" t="s">
        <v>15</v>
      </c>
      <c r="D396" t="s">
        <v>23</v>
      </c>
      <c r="E396" t="s">
        <v>224</v>
      </c>
      <c r="F396" t="s">
        <v>18</v>
      </c>
      <c r="G396" t="s">
        <v>19</v>
      </c>
      <c r="H396" t="s">
        <v>20</v>
      </c>
      <c r="I396">
        <v>8</v>
      </c>
      <c r="J396">
        <v>852.17</v>
      </c>
      <c r="K396">
        <v>0.03</v>
      </c>
      <c r="L396">
        <v>6612.84</v>
      </c>
      <c r="M396">
        <v>5288.82</v>
      </c>
      <c r="N396">
        <v>7011.93</v>
      </c>
      <c r="O396" s="3">
        <f>_xlfn.XLOOKUP(SalesData[[#This Row],[Product]],ProductLookup[Product],ProductLookup[Standard_Price],"Not Found")</f>
        <v>850</v>
      </c>
      <c r="P396" s="3">
        <f>SalesData[[#This Row],[Revenue]]-SalesData[[#This Row],[Cost]]</f>
        <v>1324.0200000000004</v>
      </c>
      <c r="Q396" s="5">
        <f>IFERROR(SalesData[[#This Row],[Profit]]/SalesData[[#This Row],[Revenue]],0)</f>
        <v>0.20021957283103786</v>
      </c>
      <c r="R396" s="3">
        <f>SalesData[[#This Row],[Revenue]]-SalesData[[#This Row],[Target]]</f>
        <v>-399.09000000000015</v>
      </c>
      <c r="S396" s="3" t="str">
        <f t="shared" si="6"/>
        <v>Below Target</v>
      </c>
    </row>
    <row r="397" spans="1:19" ht="13.8">
      <c r="A397" t="s">
        <v>573</v>
      </c>
      <c r="B397" s="21">
        <v>45845</v>
      </c>
      <c r="C397" t="s">
        <v>22</v>
      </c>
      <c r="D397" t="s">
        <v>82</v>
      </c>
      <c r="E397" t="s">
        <v>342</v>
      </c>
      <c r="F397" t="s">
        <v>74</v>
      </c>
      <c r="G397" t="s">
        <v>45</v>
      </c>
      <c r="H397" t="s">
        <v>47</v>
      </c>
      <c r="I397">
        <v>7</v>
      </c>
      <c r="J397">
        <v>402.88</v>
      </c>
      <c r="K397">
        <v>0.1</v>
      </c>
      <c r="L397">
        <v>2538.14</v>
      </c>
      <c r="M397">
        <v>2065.2800000000002</v>
      </c>
      <c r="N397">
        <v>2588.56</v>
      </c>
      <c r="O397" s="3">
        <f>_xlfn.XLOOKUP(SalesData[[#This Row],[Product]],ProductLookup[Product],ProductLookup[Standard_Price],"Not Found")</f>
        <v>420</v>
      </c>
      <c r="P397" s="3">
        <f>SalesData[[#This Row],[Revenue]]-SalesData[[#This Row],[Cost]]</f>
        <v>472.85999999999967</v>
      </c>
      <c r="Q397" s="5">
        <f>IFERROR(SalesData[[#This Row],[Profit]]/SalesData[[#This Row],[Revenue]],0)</f>
        <v>0.18630178004365389</v>
      </c>
      <c r="R397" s="3">
        <f>SalesData[[#This Row],[Revenue]]-SalesData[[#This Row],[Target]]</f>
        <v>-50.420000000000073</v>
      </c>
      <c r="S397" s="3" t="str">
        <f t="shared" si="6"/>
        <v>Below Target</v>
      </c>
    </row>
    <row r="398" spans="1:19" ht="13.8">
      <c r="A398" t="s">
        <v>574</v>
      </c>
      <c r="B398" s="21">
        <v>45727</v>
      </c>
      <c r="C398" t="s">
        <v>29</v>
      </c>
      <c r="D398" t="s">
        <v>68</v>
      </c>
      <c r="E398" t="s">
        <v>85</v>
      </c>
      <c r="F398" t="s">
        <v>32</v>
      </c>
      <c r="G398" t="s">
        <v>26</v>
      </c>
      <c r="H398" t="s">
        <v>27</v>
      </c>
      <c r="I398">
        <v>14</v>
      </c>
      <c r="J398">
        <v>326.2</v>
      </c>
      <c r="K398">
        <v>0.03</v>
      </c>
      <c r="L398">
        <v>4429.8</v>
      </c>
      <c r="M398">
        <v>3539.64</v>
      </c>
      <c r="N398">
        <v>4690.2299999999996</v>
      </c>
      <c r="O398" s="3">
        <f>_xlfn.XLOOKUP(SalesData[[#This Row],[Product]],ProductLookup[Product],ProductLookup[Standard_Price],"Not Found")</f>
        <v>320</v>
      </c>
      <c r="P398" s="3">
        <f>SalesData[[#This Row],[Revenue]]-SalesData[[#This Row],[Cost]]</f>
        <v>890.16000000000031</v>
      </c>
      <c r="Q398" s="5">
        <f>IFERROR(SalesData[[#This Row],[Profit]]/SalesData[[#This Row],[Revenue]],0)</f>
        <v>0.20094812406880677</v>
      </c>
      <c r="R398" s="3">
        <f>SalesData[[#This Row],[Revenue]]-SalesData[[#This Row],[Target]]</f>
        <v>-260.42999999999938</v>
      </c>
      <c r="S398" s="3" t="str">
        <f t="shared" si="6"/>
        <v>Below Target</v>
      </c>
    </row>
    <row r="399" spans="1:19" ht="13.8">
      <c r="A399" t="s">
        <v>575</v>
      </c>
      <c r="B399" s="21">
        <v>45961</v>
      </c>
      <c r="C399" t="s">
        <v>67</v>
      </c>
      <c r="D399" t="s">
        <v>23</v>
      </c>
      <c r="E399" t="s">
        <v>256</v>
      </c>
      <c r="F399" t="s">
        <v>25</v>
      </c>
      <c r="G399" t="s">
        <v>33</v>
      </c>
      <c r="H399" t="s">
        <v>42</v>
      </c>
      <c r="I399">
        <v>11</v>
      </c>
      <c r="J399">
        <v>62.68</v>
      </c>
      <c r="K399">
        <v>0</v>
      </c>
      <c r="L399">
        <v>689.48</v>
      </c>
      <c r="M399">
        <v>424.01</v>
      </c>
      <c r="N399">
        <v>736.34</v>
      </c>
      <c r="O399" s="3">
        <f>_xlfn.XLOOKUP(SalesData[[#This Row],[Product]],ProductLookup[Product],ProductLookup[Standard_Price],"Not Found")</f>
        <v>60</v>
      </c>
      <c r="P399" s="3">
        <f>SalesData[[#This Row],[Revenue]]-SalesData[[#This Row],[Cost]]</f>
        <v>265.47000000000003</v>
      </c>
      <c r="Q399" s="5">
        <f>IFERROR(SalesData[[#This Row],[Profit]]/SalesData[[#This Row],[Revenue]],0)</f>
        <v>0.38502929744155018</v>
      </c>
      <c r="R399" s="3">
        <f>SalesData[[#This Row],[Revenue]]-SalesData[[#This Row],[Target]]</f>
        <v>-46.860000000000014</v>
      </c>
      <c r="S399" s="3" t="str">
        <f t="shared" si="6"/>
        <v>Below Target</v>
      </c>
    </row>
    <row r="400" spans="1:19" ht="13.8">
      <c r="A400" t="s">
        <v>576</v>
      </c>
      <c r="B400" s="21">
        <v>45958</v>
      </c>
      <c r="C400" t="s">
        <v>15</v>
      </c>
      <c r="D400" t="s">
        <v>68</v>
      </c>
      <c r="E400" t="s">
        <v>469</v>
      </c>
      <c r="F400" t="s">
        <v>74</v>
      </c>
      <c r="G400" t="s">
        <v>33</v>
      </c>
      <c r="H400" t="s">
        <v>41</v>
      </c>
      <c r="I400">
        <v>9</v>
      </c>
      <c r="J400">
        <v>82.76</v>
      </c>
      <c r="K400">
        <v>0.05</v>
      </c>
      <c r="L400">
        <v>707.6</v>
      </c>
      <c r="M400">
        <v>514.07000000000005</v>
      </c>
      <c r="N400">
        <v>781.18</v>
      </c>
      <c r="O400" s="3">
        <f>_xlfn.XLOOKUP(SalesData[[#This Row],[Product]],ProductLookup[Product],ProductLookup[Standard_Price],"Not Found")</f>
        <v>85</v>
      </c>
      <c r="P400" s="3">
        <f>SalesData[[#This Row],[Revenue]]-SalesData[[#This Row],[Cost]]</f>
        <v>193.52999999999997</v>
      </c>
      <c r="Q400" s="5">
        <f>IFERROR(SalesData[[#This Row],[Profit]]/SalesData[[#This Row],[Revenue]],0)</f>
        <v>0.27350197851893721</v>
      </c>
      <c r="R400" s="3">
        <f>SalesData[[#This Row],[Revenue]]-SalesData[[#This Row],[Target]]</f>
        <v>-73.579999999999927</v>
      </c>
      <c r="S400" s="3" t="str">
        <f t="shared" si="6"/>
        <v>Below Target</v>
      </c>
    </row>
    <row r="401" spans="1:19" ht="27.6">
      <c r="A401" t="s">
        <v>577</v>
      </c>
      <c r="B401" s="21">
        <v>45978</v>
      </c>
      <c r="C401" t="s">
        <v>67</v>
      </c>
      <c r="D401" t="s">
        <v>82</v>
      </c>
      <c r="E401" t="s">
        <v>168</v>
      </c>
      <c r="F401" t="s">
        <v>74</v>
      </c>
      <c r="G401" t="s">
        <v>45</v>
      </c>
      <c r="H401" t="s">
        <v>44</v>
      </c>
      <c r="I401">
        <v>13</v>
      </c>
      <c r="J401">
        <v>271.48</v>
      </c>
      <c r="K401">
        <v>0.05</v>
      </c>
      <c r="L401">
        <v>3352.78</v>
      </c>
      <c r="M401">
        <v>2311.3200000000002</v>
      </c>
      <c r="N401">
        <v>3020.53</v>
      </c>
      <c r="O401" s="3">
        <f>_xlfn.XLOOKUP(SalesData[[#This Row],[Product]],ProductLookup[Product],ProductLookup[Standard_Price],"Not Found")</f>
        <v>260</v>
      </c>
      <c r="P401" s="3">
        <f>SalesData[[#This Row],[Revenue]]-SalesData[[#This Row],[Cost]]</f>
        <v>1041.46</v>
      </c>
      <c r="Q401" s="5">
        <f>IFERROR(SalesData[[#This Row],[Profit]]/SalesData[[#This Row],[Revenue]],0)</f>
        <v>0.31062580903011827</v>
      </c>
      <c r="R401" s="3">
        <f>SalesData[[#This Row],[Revenue]]-SalesData[[#This Row],[Target]]</f>
        <v>332.25</v>
      </c>
      <c r="S401" s="3" t="str">
        <f t="shared" si="6"/>
        <v>Above Target</v>
      </c>
    </row>
    <row r="402" spans="1:19" ht="13.8">
      <c r="A402" t="s">
        <v>578</v>
      </c>
      <c r="B402" s="21">
        <v>45814</v>
      </c>
      <c r="C402" t="s">
        <v>22</v>
      </c>
      <c r="D402" t="s">
        <v>68</v>
      </c>
      <c r="E402" t="s">
        <v>226</v>
      </c>
      <c r="F402" t="s">
        <v>32</v>
      </c>
      <c r="G402" t="s">
        <v>19</v>
      </c>
      <c r="H402" t="s">
        <v>20</v>
      </c>
      <c r="I402">
        <v>5</v>
      </c>
      <c r="J402">
        <v>849.07</v>
      </c>
      <c r="K402">
        <v>0</v>
      </c>
      <c r="L402">
        <v>4245.3500000000004</v>
      </c>
      <c r="M402">
        <v>3435.41</v>
      </c>
      <c r="N402">
        <v>4630.7</v>
      </c>
      <c r="O402" s="3">
        <f>_xlfn.XLOOKUP(SalesData[[#This Row],[Product]],ProductLookup[Product],ProductLookup[Standard_Price],"Not Found")</f>
        <v>850</v>
      </c>
      <c r="P402" s="3">
        <f>SalesData[[#This Row],[Revenue]]-SalesData[[#This Row],[Cost]]</f>
        <v>809.94000000000051</v>
      </c>
      <c r="Q402" s="5">
        <f>IFERROR(SalesData[[#This Row],[Profit]]/SalesData[[#This Row],[Revenue]],0)</f>
        <v>0.19078285653715252</v>
      </c>
      <c r="R402" s="3">
        <f>SalesData[[#This Row],[Revenue]]-SalesData[[#This Row],[Target]]</f>
        <v>-385.34999999999945</v>
      </c>
      <c r="S402" s="3" t="str">
        <f t="shared" si="6"/>
        <v>Below Target</v>
      </c>
    </row>
    <row r="403" spans="1:19" ht="13.8">
      <c r="A403" t="s">
        <v>579</v>
      </c>
      <c r="B403" s="21">
        <v>45892</v>
      </c>
      <c r="C403" t="s">
        <v>15</v>
      </c>
      <c r="D403" t="s">
        <v>30</v>
      </c>
      <c r="E403" t="s">
        <v>133</v>
      </c>
      <c r="F403" t="s">
        <v>18</v>
      </c>
      <c r="G403" t="s">
        <v>19</v>
      </c>
      <c r="H403" t="s">
        <v>38</v>
      </c>
      <c r="I403">
        <v>6</v>
      </c>
      <c r="J403">
        <v>954.31</v>
      </c>
      <c r="K403">
        <v>0</v>
      </c>
      <c r="L403">
        <v>5725.86</v>
      </c>
      <c r="M403">
        <v>3881.09</v>
      </c>
      <c r="N403">
        <v>6199.33</v>
      </c>
      <c r="O403" s="3">
        <f>_xlfn.XLOOKUP(SalesData[[#This Row],[Product]],ProductLookup[Product],ProductLookup[Standard_Price],"Not Found")</f>
        <v>950</v>
      </c>
      <c r="P403" s="3">
        <f>SalesData[[#This Row],[Revenue]]-SalesData[[#This Row],[Cost]]</f>
        <v>1844.7699999999995</v>
      </c>
      <c r="Q403" s="5">
        <f>IFERROR(SalesData[[#This Row],[Profit]]/SalesData[[#This Row],[Revenue]],0)</f>
        <v>0.32218217001463528</v>
      </c>
      <c r="R403" s="3">
        <f>SalesData[[#This Row],[Revenue]]-SalesData[[#This Row],[Target]]</f>
        <v>-473.47000000000025</v>
      </c>
      <c r="S403" s="3" t="str">
        <f t="shared" si="6"/>
        <v>Below Target</v>
      </c>
    </row>
    <row r="404" spans="1:19" ht="13.8">
      <c r="A404" t="s">
        <v>580</v>
      </c>
      <c r="B404" s="21">
        <v>45796</v>
      </c>
      <c r="C404" t="s">
        <v>15</v>
      </c>
      <c r="D404" t="s">
        <v>23</v>
      </c>
      <c r="E404" t="s">
        <v>352</v>
      </c>
      <c r="F404" t="s">
        <v>18</v>
      </c>
      <c r="G404" t="s">
        <v>19</v>
      </c>
      <c r="H404" t="s">
        <v>38</v>
      </c>
      <c r="I404">
        <v>12</v>
      </c>
      <c r="J404">
        <v>987.01</v>
      </c>
      <c r="K404">
        <v>0.05</v>
      </c>
      <c r="L404">
        <v>11251.91</v>
      </c>
      <c r="M404">
        <v>8387.4</v>
      </c>
      <c r="N404">
        <v>12081.31</v>
      </c>
      <c r="O404" s="3">
        <f>_xlfn.XLOOKUP(SalesData[[#This Row],[Product]],ProductLookup[Product],ProductLookup[Standard_Price],"Not Found")</f>
        <v>950</v>
      </c>
      <c r="P404" s="3">
        <f>SalesData[[#This Row],[Revenue]]-SalesData[[#This Row],[Cost]]</f>
        <v>2864.51</v>
      </c>
      <c r="Q404" s="5">
        <f>IFERROR(SalesData[[#This Row],[Profit]]/SalesData[[#This Row],[Revenue]],0)</f>
        <v>0.25457988910327228</v>
      </c>
      <c r="R404" s="3">
        <f>SalesData[[#This Row],[Revenue]]-SalesData[[#This Row],[Target]]</f>
        <v>-829.39999999999964</v>
      </c>
      <c r="S404" s="3" t="str">
        <f t="shared" si="6"/>
        <v>Below Target</v>
      </c>
    </row>
    <row r="405" spans="1:19" ht="27.6">
      <c r="A405" t="s">
        <v>581</v>
      </c>
      <c r="B405" s="21">
        <v>45850</v>
      </c>
      <c r="C405" t="s">
        <v>22</v>
      </c>
      <c r="D405" t="s">
        <v>30</v>
      </c>
      <c r="E405" t="s">
        <v>76</v>
      </c>
      <c r="F405" t="s">
        <v>32</v>
      </c>
      <c r="G405" t="s">
        <v>19</v>
      </c>
      <c r="H405" t="s">
        <v>38</v>
      </c>
      <c r="I405">
        <v>7</v>
      </c>
      <c r="J405">
        <v>928.29</v>
      </c>
      <c r="K405">
        <v>0.02</v>
      </c>
      <c r="L405">
        <v>6368.07</v>
      </c>
      <c r="M405">
        <v>4328.5200000000004</v>
      </c>
      <c r="N405">
        <v>5946.56</v>
      </c>
      <c r="O405" s="3">
        <f>_xlfn.XLOOKUP(SalesData[[#This Row],[Product]],ProductLookup[Product],ProductLookup[Standard_Price],"Not Found")</f>
        <v>950</v>
      </c>
      <c r="P405" s="3">
        <f>SalesData[[#This Row],[Revenue]]-SalesData[[#This Row],[Cost]]</f>
        <v>2039.5499999999993</v>
      </c>
      <c r="Q405" s="5">
        <f>IFERROR(SalesData[[#This Row],[Profit]]/SalesData[[#This Row],[Revenue]],0)</f>
        <v>0.32027757232568099</v>
      </c>
      <c r="R405" s="3">
        <f>SalesData[[#This Row],[Revenue]]-SalesData[[#This Row],[Target]]</f>
        <v>421.50999999999931</v>
      </c>
      <c r="S405" s="3" t="str">
        <f t="shared" si="6"/>
        <v>Above Target</v>
      </c>
    </row>
    <row r="406" spans="1:19" ht="27.6">
      <c r="A406" t="s">
        <v>582</v>
      </c>
      <c r="B406" s="21">
        <v>45917</v>
      </c>
      <c r="C406" t="s">
        <v>29</v>
      </c>
      <c r="D406" t="s">
        <v>16</v>
      </c>
      <c r="E406" t="s">
        <v>254</v>
      </c>
      <c r="F406" t="s">
        <v>74</v>
      </c>
      <c r="G406" t="s">
        <v>45</v>
      </c>
      <c r="H406" t="s">
        <v>47</v>
      </c>
      <c r="I406">
        <v>10</v>
      </c>
      <c r="J406">
        <v>406.96</v>
      </c>
      <c r="K406">
        <v>0.02</v>
      </c>
      <c r="L406">
        <v>3988.21</v>
      </c>
      <c r="M406">
        <v>2735.94</v>
      </c>
      <c r="N406">
        <v>3518.3</v>
      </c>
      <c r="O406" s="3">
        <f>_xlfn.XLOOKUP(SalesData[[#This Row],[Product]],ProductLookup[Product],ProductLookup[Standard_Price],"Not Found")</f>
        <v>420</v>
      </c>
      <c r="P406" s="3">
        <f>SalesData[[#This Row],[Revenue]]-SalesData[[#This Row],[Cost]]</f>
        <v>1252.27</v>
      </c>
      <c r="Q406" s="5">
        <f>IFERROR(SalesData[[#This Row],[Profit]]/SalesData[[#This Row],[Revenue]],0)</f>
        <v>0.3139929943508491</v>
      </c>
      <c r="R406" s="3">
        <f>SalesData[[#This Row],[Revenue]]-SalesData[[#This Row],[Target]]</f>
        <v>469.90999999999985</v>
      </c>
      <c r="S406" s="3" t="str">
        <f t="shared" si="6"/>
        <v>Above Target</v>
      </c>
    </row>
    <row r="407" spans="1:19" ht="13.8">
      <c r="A407" t="s">
        <v>583</v>
      </c>
      <c r="B407" s="21">
        <v>45947</v>
      </c>
      <c r="C407" t="s">
        <v>22</v>
      </c>
      <c r="D407" t="s">
        <v>23</v>
      </c>
      <c r="E407" t="s">
        <v>73</v>
      </c>
      <c r="F407" t="s">
        <v>32</v>
      </c>
      <c r="G407" t="s">
        <v>45</v>
      </c>
      <c r="H407" t="s">
        <v>47</v>
      </c>
      <c r="I407">
        <v>11</v>
      </c>
      <c r="J407">
        <v>409.53</v>
      </c>
      <c r="K407">
        <v>0.03</v>
      </c>
      <c r="L407">
        <v>4369.6899999999996</v>
      </c>
      <c r="M407">
        <v>3271.91</v>
      </c>
      <c r="N407">
        <v>4877.82</v>
      </c>
      <c r="O407" s="3">
        <f>_xlfn.XLOOKUP(SalesData[[#This Row],[Product]],ProductLookup[Product],ProductLookup[Standard_Price],"Not Found")</f>
        <v>420</v>
      </c>
      <c r="P407" s="3">
        <f>SalesData[[#This Row],[Revenue]]-SalesData[[#This Row],[Cost]]</f>
        <v>1097.7799999999997</v>
      </c>
      <c r="Q407" s="5">
        <f>IFERROR(SalesData[[#This Row],[Profit]]/SalesData[[#This Row],[Revenue]],0)</f>
        <v>0.25122605951451932</v>
      </c>
      <c r="R407" s="3">
        <f>SalesData[[#This Row],[Revenue]]-SalesData[[#This Row],[Target]]</f>
        <v>-508.13000000000011</v>
      </c>
      <c r="S407" s="3" t="str">
        <f t="shared" si="6"/>
        <v>Below Target</v>
      </c>
    </row>
    <row r="408" spans="1:19" ht="13.8">
      <c r="A408" t="s">
        <v>584</v>
      </c>
      <c r="B408" s="21">
        <v>45999</v>
      </c>
      <c r="C408" t="s">
        <v>67</v>
      </c>
      <c r="D408" t="s">
        <v>30</v>
      </c>
      <c r="E408" t="s">
        <v>469</v>
      </c>
      <c r="F408" t="s">
        <v>74</v>
      </c>
      <c r="G408" t="s">
        <v>33</v>
      </c>
      <c r="H408" t="s">
        <v>34</v>
      </c>
      <c r="I408">
        <v>2</v>
      </c>
      <c r="J408">
        <v>35.049999999999997</v>
      </c>
      <c r="K408">
        <v>0.03</v>
      </c>
      <c r="L408">
        <v>68</v>
      </c>
      <c r="M408">
        <v>47.44</v>
      </c>
      <c r="N408">
        <v>75.47</v>
      </c>
      <c r="O408" s="3">
        <f>_xlfn.XLOOKUP(SalesData[[#This Row],[Product]],ProductLookup[Product],ProductLookup[Standard_Price],"Not Found")</f>
        <v>35</v>
      </c>
      <c r="P408" s="3">
        <f>SalesData[[#This Row],[Revenue]]-SalesData[[#This Row],[Cost]]</f>
        <v>20.560000000000002</v>
      </c>
      <c r="Q408" s="5">
        <f>IFERROR(SalesData[[#This Row],[Profit]]/SalesData[[#This Row],[Revenue]],0)</f>
        <v>0.3023529411764706</v>
      </c>
      <c r="R408" s="3">
        <f>SalesData[[#This Row],[Revenue]]-SalesData[[#This Row],[Target]]</f>
        <v>-7.4699999999999989</v>
      </c>
      <c r="S408" s="3" t="str">
        <f t="shared" si="6"/>
        <v>Below Target</v>
      </c>
    </row>
    <row r="409" spans="1:19" ht="27.6">
      <c r="A409" t="s">
        <v>585</v>
      </c>
      <c r="B409" s="21">
        <v>45925</v>
      </c>
      <c r="C409" t="s">
        <v>15</v>
      </c>
      <c r="D409" t="s">
        <v>16</v>
      </c>
      <c r="E409" t="s">
        <v>283</v>
      </c>
      <c r="F409" t="s">
        <v>18</v>
      </c>
      <c r="G409" t="s">
        <v>45</v>
      </c>
      <c r="H409" t="s">
        <v>47</v>
      </c>
      <c r="I409">
        <v>11</v>
      </c>
      <c r="J409">
        <v>401.51</v>
      </c>
      <c r="K409">
        <v>0.1</v>
      </c>
      <c r="L409">
        <v>3974.95</v>
      </c>
      <c r="M409">
        <v>2820.57</v>
      </c>
      <c r="N409">
        <v>3844.94</v>
      </c>
      <c r="O409" s="3">
        <f>_xlfn.XLOOKUP(SalesData[[#This Row],[Product]],ProductLookup[Product],ProductLookup[Standard_Price],"Not Found")</f>
        <v>420</v>
      </c>
      <c r="P409" s="3">
        <f>SalesData[[#This Row],[Revenue]]-SalesData[[#This Row],[Cost]]</f>
        <v>1154.3799999999997</v>
      </c>
      <c r="Q409" s="5">
        <f>IFERROR(SalesData[[#This Row],[Profit]]/SalesData[[#This Row],[Revenue]],0)</f>
        <v>0.29041371589579734</v>
      </c>
      <c r="R409" s="3">
        <f>SalesData[[#This Row],[Revenue]]-SalesData[[#This Row],[Target]]</f>
        <v>130.00999999999976</v>
      </c>
      <c r="S409" s="3" t="str">
        <f t="shared" si="6"/>
        <v>Above Target</v>
      </c>
    </row>
    <row r="410" spans="1:19" ht="13.8">
      <c r="A410" t="s">
        <v>586</v>
      </c>
      <c r="B410" s="21">
        <v>45943</v>
      </c>
      <c r="C410" t="s">
        <v>22</v>
      </c>
      <c r="D410" t="s">
        <v>16</v>
      </c>
      <c r="E410" t="s">
        <v>120</v>
      </c>
      <c r="F410" t="s">
        <v>74</v>
      </c>
      <c r="G410" t="s">
        <v>33</v>
      </c>
      <c r="H410" t="s">
        <v>34</v>
      </c>
      <c r="I410">
        <v>8</v>
      </c>
      <c r="J410">
        <v>34.340000000000003</v>
      </c>
      <c r="K410">
        <v>0.08</v>
      </c>
      <c r="L410">
        <v>252.74</v>
      </c>
      <c r="M410">
        <v>201.19</v>
      </c>
      <c r="N410">
        <v>266.62</v>
      </c>
      <c r="O410" s="3">
        <f>_xlfn.XLOOKUP(SalesData[[#This Row],[Product]],ProductLookup[Product],ProductLookup[Standard_Price],"Not Found")</f>
        <v>35</v>
      </c>
      <c r="P410" s="3">
        <f>SalesData[[#This Row],[Revenue]]-SalesData[[#This Row],[Cost]]</f>
        <v>51.550000000000011</v>
      </c>
      <c r="Q410" s="5">
        <f>IFERROR(SalesData[[#This Row],[Profit]]/SalesData[[#This Row],[Revenue]],0)</f>
        <v>0.2039645485479149</v>
      </c>
      <c r="R410" s="3">
        <f>SalesData[[#This Row],[Revenue]]-SalesData[[#This Row],[Target]]</f>
        <v>-13.879999999999995</v>
      </c>
      <c r="S410" s="3" t="str">
        <f t="shared" si="6"/>
        <v>Below Target</v>
      </c>
    </row>
    <row r="411" spans="1:19" ht="13.8">
      <c r="A411" t="s">
        <v>587</v>
      </c>
      <c r="B411" s="21">
        <v>45728</v>
      </c>
      <c r="C411" t="s">
        <v>15</v>
      </c>
      <c r="D411" t="s">
        <v>68</v>
      </c>
      <c r="E411" t="s">
        <v>192</v>
      </c>
      <c r="F411" t="s">
        <v>32</v>
      </c>
      <c r="G411" t="s">
        <v>19</v>
      </c>
      <c r="H411" t="s">
        <v>20</v>
      </c>
      <c r="I411">
        <v>15</v>
      </c>
      <c r="J411">
        <v>883.27</v>
      </c>
      <c r="K411">
        <v>0.02</v>
      </c>
      <c r="L411">
        <v>12984.07</v>
      </c>
      <c r="M411">
        <v>8326.49</v>
      </c>
      <c r="N411">
        <v>14286.63</v>
      </c>
      <c r="O411" s="3">
        <f>_xlfn.XLOOKUP(SalesData[[#This Row],[Product]],ProductLookup[Product],ProductLookup[Standard_Price],"Not Found")</f>
        <v>850</v>
      </c>
      <c r="P411" s="3">
        <f>SalesData[[#This Row],[Revenue]]-SalesData[[#This Row],[Cost]]</f>
        <v>4657.58</v>
      </c>
      <c r="Q411" s="5">
        <f>IFERROR(SalesData[[#This Row],[Profit]]/SalesData[[#This Row],[Revenue]],0)</f>
        <v>0.35871494839445567</v>
      </c>
      <c r="R411" s="3">
        <f>SalesData[[#This Row],[Revenue]]-SalesData[[#This Row],[Target]]</f>
        <v>-1302.5599999999995</v>
      </c>
      <c r="S411" s="3" t="str">
        <f t="shared" si="6"/>
        <v>Below Target</v>
      </c>
    </row>
    <row r="412" spans="1:19" ht="13.8">
      <c r="A412" t="s">
        <v>588</v>
      </c>
      <c r="B412" s="21">
        <v>45979</v>
      </c>
      <c r="C412" t="s">
        <v>22</v>
      </c>
      <c r="D412" t="s">
        <v>82</v>
      </c>
      <c r="E412" t="s">
        <v>91</v>
      </c>
      <c r="F412" t="s">
        <v>74</v>
      </c>
      <c r="G412" t="s">
        <v>45</v>
      </c>
      <c r="H412" t="s">
        <v>47</v>
      </c>
      <c r="I412">
        <v>4</v>
      </c>
      <c r="J412">
        <v>411.23</v>
      </c>
      <c r="K412">
        <v>0.08</v>
      </c>
      <c r="L412">
        <v>1513.33</v>
      </c>
      <c r="M412">
        <v>916.59</v>
      </c>
      <c r="N412">
        <v>1530.84</v>
      </c>
      <c r="O412" s="3">
        <f>_xlfn.XLOOKUP(SalesData[[#This Row],[Product]],ProductLookup[Product],ProductLookup[Standard_Price],"Not Found")</f>
        <v>420</v>
      </c>
      <c r="P412" s="3">
        <f>SalesData[[#This Row],[Revenue]]-SalesData[[#This Row],[Cost]]</f>
        <v>596.7399999999999</v>
      </c>
      <c r="Q412" s="5">
        <f>IFERROR(SalesData[[#This Row],[Profit]]/SalesData[[#This Row],[Revenue]],0)</f>
        <v>0.39432245445474545</v>
      </c>
      <c r="R412" s="3">
        <f>SalesData[[#This Row],[Revenue]]-SalesData[[#This Row],[Target]]</f>
        <v>-17.509999999999991</v>
      </c>
      <c r="S412" s="3" t="str">
        <f t="shared" si="6"/>
        <v>Below Target</v>
      </c>
    </row>
    <row r="413" spans="1:19" ht="13.8">
      <c r="A413" t="s">
        <v>589</v>
      </c>
      <c r="B413" s="21">
        <v>45910</v>
      </c>
      <c r="C413" t="s">
        <v>22</v>
      </c>
      <c r="D413" t="s">
        <v>16</v>
      </c>
      <c r="E413" t="s">
        <v>108</v>
      </c>
      <c r="F413" t="s">
        <v>32</v>
      </c>
      <c r="G413" t="s">
        <v>45</v>
      </c>
      <c r="H413" t="s">
        <v>46</v>
      </c>
      <c r="I413">
        <v>6</v>
      </c>
      <c r="J413">
        <v>346.49</v>
      </c>
      <c r="K413">
        <v>0.03</v>
      </c>
      <c r="L413">
        <v>2016.57</v>
      </c>
      <c r="M413">
        <v>1353.77</v>
      </c>
      <c r="N413">
        <v>2177.98</v>
      </c>
      <c r="O413" s="3">
        <f>_xlfn.XLOOKUP(SalesData[[#This Row],[Product]],ProductLookup[Product],ProductLookup[Standard_Price],"Not Found")</f>
        <v>340</v>
      </c>
      <c r="P413" s="3">
        <f>SalesData[[#This Row],[Revenue]]-SalesData[[#This Row],[Cost]]</f>
        <v>662.8</v>
      </c>
      <c r="Q413" s="5">
        <f>IFERROR(SalesData[[#This Row],[Profit]]/SalesData[[#This Row],[Revenue]],0)</f>
        <v>0.32867691178585418</v>
      </c>
      <c r="R413" s="3">
        <f>SalesData[[#This Row],[Revenue]]-SalesData[[#This Row],[Target]]</f>
        <v>-161.41000000000008</v>
      </c>
      <c r="S413" s="3" t="str">
        <f t="shared" si="6"/>
        <v>Below Target</v>
      </c>
    </row>
    <row r="414" spans="1:19" ht="13.8">
      <c r="A414" t="s">
        <v>590</v>
      </c>
      <c r="B414" s="21">
        <v>45729</v>
      </c>
      <c r="C414" t="s">
        <v>29</v>
      </c>
      <c r="D414" t="s">
        <v>82</v>
      </c>
      <c r="E414" t="s">
        <v>148</v>
      </c>
      <c r="F414" t="s">
        <v>18</v>
      </c>
      <c r="G414" t="s">
        <v>26</v>
      </c>
      <c r="H414" t="s">
        <v>39</v>
      </c>
      <c r="I414">
        <v>9</v>
      </c>
      <c r="J414">
        <v>226.76</v>
      </c>
      <c r="K414">
        <v>0</v>
      </c>
      <c r="L414">
        <v>2040.84</v>
      </c>
      <c r="M414">
        <v>1297.31</v>
      </c>
      <c r="N414">
        <v>2157.58</v>
      </c>
      <c r="O414" s="3">
        <f>_xlfn.XLOOKUP(SalesData[[#This Row],[Product]],ProductLookup[Product],ProductLookup[Standard_Price],"Not Found")</f>
        <v>220</v>
      </c>
      <c r="P414" s="3">
        <f>SalesData[[#This Row],[Revenue]]-SalesData[[#This Row],[Cost]]</f>
        <v>743.53</v>
      </c>
      <c r="Q414" s="5">
        <f>IFERROR(SalesData[[#This Row],[Profit]]/SalesData[[#This Row],[Revenue]],0)</f>
        <v>0.36432547382450364</v>
      </c>
      <c r="R414" s="3">
        <f>SalesData[[#This Row],[Revenue]]-SalesData[[#This Row],[Target]]</f>
        <v>-116.74000000000001</v>
      </c>
      <c r="S414" s="3" t="str">
        <f t="shared" si="6"/>
        <v>Below Target</v>
      </c>
    </row>
    <row r="415" spans="1:19" ht="27.6">
      <c r="A415" t="s">
        <v>591</v>
      </c>
      <c r="B415" s="21">
        <v>45958</v>
      </c>
      <c r="C415" t="s">
        <v>67</v>
      </c>
      <c r="D415" t="s">
        <v>68</v>
      </c>
      <c r="E415" t="s">
        <v>207</v>
      </c>
      <c r="F415" t="s">
        <v>32</v>
      </c>
      <c r="G415" t="s">
        <v>26</v>
      </c>
      <c r="H415" t="s">
        <v>27</v>
      </c>
      <c r="I415">
        <v>7</v>
      </c>
      <c r="J415">
        <v>328.87</v>
      </c>
      <c r="K415">
        <v>0.03</v>
      </c>
      <c r="L415">
        <v>2233.0300000000002</v>
      </c>
      <c r="M415">
        <v>1812.48</v>
      </c>
      <c r="N415">
        <v>2065.36</v>
      </c>
      <c r="O415" s="3">
        <f>_xlfn.XLOOKUP(SalesData[[#This Row],[Product]],ProductLookup[Product],ProductLookup[Standard_Price],"Not Found")</f>
        <v>320</v>
      </c>
      <c r="P415" s="3">
        <f>SalesData[[#This Row],[Revenue]]-SalesData[[#This Row],[Cost]]</f>
        <v>420.55000000000018</v>
      </c>
      <c r="Q415" s="5">
        <f>IFERROR(SalesData[[#This Row],[Profit]]/SalesData[[#This Row],[Revenue]],0)</f>
        <v>0.18833154950896322</v>
      </c>
      <c r="R415" s="3">
        <f>SalesData[[#This Row],[Revenue]]-SalesData[[#This Row],[Target]]</f>
        <v>167.67000000000007</v>
      </c>
      <c r="S415" s="3" t="str">
        <f t="shared" si="6"/>
        <v>Above Target</v>
      </c>
    </row>
    <row r="416" spans="1:19" ht="27.6">
      <c r="A416" t="s">
        <v>592</v>
      </c>
      <c r="B416" s="21">
        <v>45882</v>
      </c>
      <c r="C416" t="s">
        <v>22</v>
      </c>
      <c r="D416" t="s">
        <v>30</v>
      </c>
      <c r="E416" t="s">
        <v>100</v>
      </c>
      <c r="F416" t="s">
        <v>25</v>
      </c>
      <c r="G416" t="s">
        <v>33</v>
      </c>
      <c r="H416" t="s">
        <v>34</v>
      </c>
      <c r="I416">
        <v>2</v>
      </c>
      <c r="J416">
        <v>35.64</v>
      </c>
      <c r="K416">
        <v>0.03</v>
      </c>
      <c r="L416">
        <v>69.14</v>
      </c>
      <c r="M416">
        <v>47.48</v>
      </c>
      <c r="N416">
        <v>67.239999999999995</v>
      </c>
      <c r="O416" s="3">
        <f>_xlfn.XLOOKUP(SalesData[[#This Row],[Product]],ProductLookup[Product],ProductLookup[Standard_Price],"Not Found")</f>
        <v>35</v>
      </c>
      <c r="P416" s="3">
        <f>SalesData[[#This Row],[Revenue]]-SalesData[[#This Row],[Cost]]</f>
        <v>21.660000000000004</v>
      </c>
      <c r="Q416" s="5">
        <f>IFERROR(SalesData[[#This Row],[Profit]]/SalesData[[#This Row],[Revenue]],0)</f>
        <v>0.31327740815736194</v>
      </c>
      <c r="R416" s="3">
        <f>SalesData[[#This Row],[Revenue]]-SalesData[[#This Row],[Target]]</f>
        <v>1.9000000000000057</v>
      </c>
      <c r="S416" s="3" t="str">
        <f t="shared" si="6"/>
        <v>Above Target</v>
      </c>
    </row>
    <row r="417" spans="1:19" ht="13.8">
      <c r="A417" t="s">
        <v>593</v>
      </c>
      <c r="B417" s="21">
        <v>45976</v>
      </c>
      <c r="C417" t="s">
        <v>15</v>
      </c>
      <c r="D417" t="s">
        <v>23</v>
      </c>
      <c r="E417" t="s">
        <v>305</v>
      </c>
      <c r="F417" t="s">
        <v>74</v>
      </c>
      <c r="G417" t="s">
        <v>33</v>
      </c>
      <c r="H417" t="s">
        <v>41</v>
      </c>
      <c r="I417">
        <v>9</v>
      </c>
      <c r="J417">
        <v>87.87</v>
      </c>
      <c r="K417">
        <v>0.1</v>
      </c>
      <c r="L417">
        <v>711.75</v>
      </c>
      <c r="M417">
        <v>452.08</v>
      </c>
      <c r="N417">
        <v>778.79</v>
      </c>
      <c r="O417" s="3">
        <f>_xlfn.XLOOKUP(SalesData[[#This Row],[Product]],ProductLookup[Product],ProductLookup[Standard_Price],"Not Found")</f>
        <v>85</v>
      </c>
      <c r="P417" s="3">
        <f>SalesData[[#This Row],[Revenue]]-SalesData[[#This Row],[Cost]]</f>
        <v>259.67</v>
      </c>
      <c r="Q417" s="5">
        <f>IFERROR(SalesData[[#This Row],[Profit]]/SalesData[[#This Row],[Revenue]],0)</f>
        <v>0.36483315770987007</v>
      </c>
      <c r="R417" s="3">
        <f>SalesData[[#This Row],[Revenue]]-SalesData[[#This Row],[Target]]</f>
        <v>-67.039999999999964</v>
      </c>
      <c r="S417" s="3" t="str">
        <f t="shared" si="6"/>
        <v>Below Target</v>
      </c>
    </row>
    <row r="418" spans="1:19" ht="27.6">
      <c r="A418" t="s">
        <v>594</v>
      </c>
      <c r="B418" s="21">
        <v>45996</v>
      </c>
      <c r="C418" t="s">
        <v>22</v>
      </c>
      <c r="D418" t="s">
        <v>64</v>
      </c>
      <c r="E418" t="s">
        <v>184</v>
      </c>
      <c r="F418" t="s">
        <v>32</v>
      </c>
      <c r="G418" t="s">
        <v>33</v>
      </c>
      <c r="H418" t="s">
        <v>42</v>
      </c>
      <c r="I418">
        <v>14</v>
      </c>
      <c r="J418">
        <v>61.02</v>
      </c>
      <c r="K418">
        <v>0</v>
      </c>
      <c r="L418">
        <v>854.28</v>
      </c>
      <c r="M418">
        <v>564.33000000000004</v>
      </c>
      <c r="N418">
        <v>826.14</v>
      </c>
      <c r="O418" s="3">
        <f>_xlfn.XLOOKUP(SalesData[[#This Row],[Product]],ProductLookup[Product],ProductLookup[Standard_Price],"Not Found")</f>
        <v>60</v>
      </c>
      <c r="P418" s="3">
        <f>SalesData[[#This Row],[Revenue]]-SalesData[[#This Row],[Cost]]</f>
        <v>289.94999999999993</v>
      </c>
      <c r="Q418" s="5">
        <f>IFERROR(SalesData[[#This Row],[Profit]]/SalesData[[#This Row],[Revenue]],0)</f>
        <v>0.33940862480685485</v>
      </c>
      <c r="R418" s="3">
        <f>SalesData[[#This Row],[Revenue]]-SalesData[[#This Row],[Target]]</f>
        <v>28.139999999999986</v>
      </c>
      <c r="S418" s="3" t="str">
        <f t="shared" si="6"/>
        <v>Above Target</v>
      </c>
    </row>
    <row r="419" spans="1:19" ht="13.8">
      <c r="A419" t="s">
        <v>595</v>
      </c>
      <c r="B419" s="21">
        <v>45980</v>
      </c>
      <c r="C419" t="s">
        <v>67</v>
      </c>
      <c r="D419" t="s">
        <v>30</v>
      </c>
      <c r="E419" t="s">
        <v>467</v>
      </c>
      <c r="F419" t="s">
        <v>32</v>
      </c>
      <c r="G419" t="s">
        <v>19</v>
      </c>
      <c r="H419" t="s">
        <v>37</v>
      </c>
      <c r="I419">
        <v>5</v>
      </c>
      <c r="J419">
        <v>1094.46</v>
      </c>
      <c r="K419">
        <v>0</v>
      </c>
      <c r="L419">
        <v>5472.3</v>
      </c>
      <c r="M419">
        <v>3333.14</v>
      </c>
      <c r="N419">
        <v>5901.3</v>
      </c>
      <c r="O419" s="3">
        <f>_xlfn.XLOOKUP(SalesData[[#This Row],[Product]],ProductLookup[Product],ProductLookup[Standard_Price],"Not Found")</f>
        <v>1100</v>
      </c>
      <c r="P419" s="3">
        <f>SalesData[[#This Row],[Revenue]]-SalesData[[#This Row],[Cost]]</f>
        <v>2139.1600000000003</v>
      </c>
      <c r="Q419" s="5">
        <f>IFERROR(SalesData[[#This Row],[Profit]]/SalesData[[#This Row],[Revenue]],0)</f>
        <v>0.3909069312720429</v>
      </c>
      <c r="R419" s="3">
        <f>SalesData[[#This Row],[Revenue]]-SalesData[[#This Row],[Target]]</f>
        <v>-429</v>
      </c>
      <c r="S419" s="3" t="str">
        <f t="shared" si="6"/>
        <v>Below Target</v>
      </c>
    </row>
    <row r="420" spans="1:19" ht="13.8">
      <c r="A420" t="s">
        <v>596</v>
      </c>
      <c r="B420" s="21">
        <v>45793</v>
      </c>
      <c r="C420" t="s">
        <v>22</v>
      </c>
      <c r="D420" t="s">
        <v>82</v>
      </c>
      <c r="E420" t="s">
        <v>100</v>
      </c>
      <c r="F420" t="s">
        <v>32</v>
      </c>
      <c r="G420" t="s">
        <v>26</v>
      </c>
      <c r="H420" t="s">
        <v>39</v>
      </c>
      <c r="I420">
        <v>15</v>
      </c>
      <c r="J420">
        <v>210.54</v>
      </c>
      <c r="K420">
        <v>0.08</v>
      </c>
      <c r="L420">
        <v>2905.45</v>
      </c>
      <c r="M420">
        <v>1804.89</v>
      </c>
      <c r="N420">
        <v>2977.11</v>
      </c>
      <c r="O420" s="3">
        <f>_xlfn.XLOOKUP(SalesData[[#This Row],[Product]],ProductLookup[Product],ProductLookup[Standard_Price],"Not Found")</f>
        <v>220</v>
      </c>
      <c r="P420" s="3">
        <f>SalesData[[#This Row],[Revenue]]-SalesData[[#This Row],[Cost]]</f>
        <v>1100.5599999999997</v>
      </c>
      <c r="Q420" s="5">
        <f>IFERROR(SalesData[[#This Row],[Profit]]/SalesData[[#This Row],[Revenue]],0)</f>
        <v>0.37879158133851892</v>
      </c>
      <c r="R420" s="3">
        <f>SalesData[[#This Row],[Revenue]]-SalesData[[#This Row],[Target]]</f>
        <v>-71.660000000000309</v>
      </c>
      <c r="S420" s="3" t="str">
        <f t="shared" si="6"/>
        <v>Below Target</v>
      </c>
    </row>
    <row r="421" spans="1:19" ht="27.6">
      <c r="A421" t="s">
        <v>597</v>
      </c>
      <c r="B421" s="21">
        <v>45742</v>
      </c>
      <c r="C421" t="s">
        <v>22</v>
      </c>
      <c r="D421" t="s">
        <v>68</v>
      </c>
      <c r="E421" t="s">
        <v>150</v>
      </c>
      <c r="F421" t="s">
        <v>32</v>
      </c>
      <c r="G421" t="s">
        <v>45</v>
      </c>
      <c r="H421" t="s">
        <v>44</v>
      </c>
      <c r="I421">
        <v>3</v>
      </c>
      <c r="J421">
        <v>272.14999999999998</v>
      </c>
      <c r="K421">
        <v>0.1</v>
      </c>
      <c r="L421">
        <v>734.8</v>
      </c>
      <c r="M421">
        <v>560.89</v>
      </c>
      <c r="N421">
        <v>667.4</v>
      </c>
      <c r="O421" s="3">
        <f>_xlfn.XLOOKUP(SalesData[[#This Row],[Product]],ProductLookup[Product],ProductLookup[Standard_Price],"Not Found")</f>
        <v>260</v>
      </c>
      <c r="P421" s="3">
        <f>SalesData[[#This Row],[Revenue]]-SalesData[[#This Row],[Cost]]</f>
        <v>173.90999999999997</v>
      </c>
      <c r="Q421" s="5">
        <f>IFERROR(SalesData[[#This Row],[Profit]]/SalesData[[#This Row],[Revenue]],0)</f>
        <v>0.23667664670658681</v>
      </c>
      <c r="R421" s="3">
        <f>SalesData[[#This Row],[Revenue]]-SalesData[[#This Row],[Target]]</f>
        <v>67.399999999999977</v>
      </c>
      <c r="S421" s="3" t="str">
        <f t="shared" si="6"/>
        <v>Above Target</v>
      </c>
    </row>
    <row r="422" spans="1:19" ht="13.8">
      <c r="A422" t="s">
        <v>598</v>
      </c>
      <c r="B422" s="21">
        <v>45862</v>
      </c>
      <c r="C422" t="s">
        <v>29</v>
      </c>
      <c r="D422" t="s">
        <v>64</v>
      </c>
      <c r="E422" t="s">
        <v>87</v>
      </c>
      <c r="F422" t="s">
        <v>74</v>
      </c>
      <c r="G422" t="s">
        <v>33</v>
      </c>
      <c r="H422" t="s">
        <v>34</v>
      </c>
      <c r="I422">
        <v>8</v>
      </c>
      <c r="J422">
        <v>36.07</v>
      </c>
      <c r="K422">
        <v>0.03</v>
      </c>
      <c r="L422">
        <v>279.89999999999998</v>
      </c>
      <c r="M422">
        <v>221.21</v>
      </c>
      <c r="N422">
        <v>294.14999999999998</v>
      </c>
      <c r="O422" s="3">
        <f>_xlfn.XLOOKUP(SalesData[[#This Row],[Product]],ProductLookup[Product],ProductLookup[Standard_Price],"Not Found")</f>
        <v>35</v>
      </c>
      <c r="P422" s="3">
        <f>SalesData[[#This Row],[Revenue]]-SalesData[[#This Row],[Cost]]</f>
        <v>58.689999999999969</v>
      </c>
      <c r="Q422" s="5">
        <f>IFERROR(SalesData[[#This Row],[Profit]]/SalesData[[#This Row],[Revenue]],0)</f>
        <v>0.2096820292961771</v>
      </c>
      <c r="R422" s="3">
        <f>SalesData[[#This Row],[Revenue]]-SalesData[[#This Row],[Target]]</f>
        <v>-14.25</v>
      </c>
      <c r="S422" s="3" t="str">
        <f t="shared" si="6"/>
        <v>Below Target</v>
      </c>
    </row>
    <row r="423" spans="1:19" ht="27.6">
      <c r="A423" t="s">
        <v>599</v>
      </c>
      <c r="B423" s="21">
        <v>46000</v>
      </c>
      <c r="C423" t="s">
        <v>15</v>
      </c>
      <c r="D423" t="s">
        <v>64</v>
      </c>
      <c r="E423" t="s">
        <v>83</v>
      </c>
      <c r="F423" t="s">
        <v>25</v>
      </c>
      <c r="G423" t="s">
        <v>26</v>
      </c>
      <c r="H423" t="s">
        <v>27</v>
      </c>
      <c r="I423">
        <v>3</v>
      </c>
      <c r="J423">
        <v>310.82</v>
      </c>
      <c r="K423">
        <v>0.1</v>
      </c>
      <c r="L423">
        <v>839.21</v>
      </c>
      <c r="M423">
        <v>515.70000000000005</v>
      </c>
      <c r="N423">
        <v>821.73</v>
      </c>
      <c r="O423" s="3">
        <f>_xlfn.XLOOKUP(SalesData[[#This Row],[Product]],ProductLookup[Product],ProductLookup[Standard_Price],"Not Found")</f>
        <v>320</v>
      </c>
      <c r="P423" s="3">
        <f>SalesData[[#This Row],[Revenue]]-SalesData[[#This Row],[Cost]]</f>
        <v>323.51</v>
      </c>
      <c r="Q423" s="5">
        <f>IFERROR(SalesData[[#This Row],[Profit]]/SalesData[[#This Row],[Revenue]],0)</f>
        <v>0.38549349983913439</v>
      </c>
      <c r="R423" s="3">
        <f>SalesData[[#This Row],[Revenue]]-SalesData[[#This Row],[Target]]</f>
        <v>17.480000000000018</v>
      </c>
      <c r="S423" s="3" t="str">
        <f t="shared" si="6"/>
        <v>Above Target</v>
      </c>
    </row>
    <row r="424" spans="1:19" ht="13.8">
      <c r="A424" t="s">
        <v>600</v>
      </c>
      <c r="B424" s="21">
        <v>45953</v>
      </c>
      <c r="C424" t="s">
        <v>29</v>
      </c>
      <c r="D424" t="s">
        <v>23</v>
      </c>
      <c r="E424" t="s">
        <v>106</v>
      </c>
      <c r="F424" t="s">
        <v>25</v>
      </c>
      <c r="G424" t="s">
        <v>33</v>
      </c>
      <c r="H424" t="s">
        <v>34</v>
      </c>
      <c r="I424">
        <v>7</v>
      </c>
      <c r="J424">
        <v>34</v>
      </c>
      <c r="K424">
        <v>0.1</v>
      </c>
      <c r="L424">
        <v>214.2</v>
      </c>
      <c r="M424">
        <v>141.41999999999999</v>
      </c>
      <c r="N424">
        <v>231.93</v>
      </c>
      <c r="O424" s="3">
        <f>_xlfn.XLOOKUP(SalesData[[#This Row],[Product]],ProductLookup[Product],ProductLookup[Standard_Price],"Not Found")</f>
        <v>35</v>
      </c>
      <c r="P424" s="3">
        <f>SalesData[[#This Row],[Revenue]]-SalesData[[#This Row],[Cost]]</f>
        <v>72.78</v>
      </c>
      <c r="Q424" s="5">
        <f>IFERROR(SalesData[[#This Row],[Profit]]/SalesData[[#This Row],[Revenue]],0)</f>
        <v>0.33977591036414567</v>
      </c>
      <c r="R424" s="3">
        <f>SalesData[[#This Row],[Revenue]]-SalesData[[#This Row],[Target]]</f>
        <v>-17.730000000000018</v>
      </c>
      <c r="S424" s="3" t="str">
        <f t="shared" si="6"/>
        <v>Below Target</v>
      </c>
    </row>
    <row r="425" spans="1:19" ht="13.8">
      <c r="A425" t="s">
        <v>601</v>
      </c>
      <c r="B425" s="21">
        <v>45914</v>
      </c>
      <c r="C425" t="s">
        <v>22</v>
      </c>
      <c r="D425" t="s">
        <v>30</v>
      </c>
      <c r="E425" t="s">
        <v>115</v>
      </c>
      <c r="F425" t="s">
        <v>74</v>
      </c>
      <c r="G425" t="s">
        <v>19</v>
      </c>
      <c r="H425" t="s">
        <v>37</v>
      </c>
      <c r="I425">
        <v>15</v>
      </c>
      <c r="J425">
        <v>1076.0899999999999</v>
      </c>
      <c r="K425">
        <v>0</v>
      </c>
      <c r="L425">
        <v>16141.35</v>
      </c>
      <c r="M425">
        <v>12323.31</v>
      </c>
      <c r="N425">
        <v>17384.8</v>
      </c>
      <c r="O425" s="3">
        <f>_xlfn.XLOOKUP(SalesData[[#This Row],[Product]],ProductLookup[Product],ProductLookup[Standard_Price],"Not Found")</f>
        <v>1100</v>
      </c>
      <c r="P425" s="3">
        <f>SalesData[[#This Row],[Revenue]]-SalesData[[#This Row],[Cost]]</f>
        <v>3818.0400000000009</v>
      </c>
      <c r="Q425" s="5">
        <f>IFERROR(SalesData[[#This Row],[Profit]]/SalesData[[#This Row],[Revenue]],0)</f>
        <v>0.23653783605460516</v>
      </c>
      <c r="R425" s="3">
        <f>SalesData[[#This Row],[Revenue]]-SalesData[[#This Row],[Target]]</f>
        <v>-1243.4499999999989</v>
      </c>
      <c r="S425" s="3" t="str">
        <f t="shared" si="6"/>
        <v>Below Target</v>
      </c>
    </row>
    <row r="426" spans="1:19" ht="13.8">
      <c r="A426" t="s">
        <v>602</v>
      </c>
      <c r="B426" s="21">
        <v>45971</v>
      </c>
      <c r="C426" t="s">
        <v>29</v>
      </c>
      <c r="D426" t="s">
        <v>23</v>
      </c>
      <c r="E426" t="s">
        <v>148</v>
      </c>
      <c r="F426" t="s">
        <v>18</v>
      </c>
      <c r="G426" t="s">
        <v>26</v>
      </c>
      <c r="H426" t="s">
        <v>27</v>
      </c>
      <c r="I426">
        <v>12</v>
      </c>
      <c r="J426">
        <v>306.14999999999998</v>
      </c>
      <c r="K426">
        <v>0.08</v>
      </c>
      <c r="L426">
        <v>3379.9</v>
      </c>
      <c r="M426">
        <v>2477.69</v>
      </c>
      <c r="N426">
        <v>3387.26</v>
      </c>
      <c r="O426" s="3">
        <f>_xlfn.XLOOKUP(SalesData[[#This Row],[Product]],ProductLookup[Product],ProductLookup[Standard_Price],"Not Found")</f>
        <v>320</v>
      </c>
      <c r="P426" s="3">
        <f>SalesData[[#This Row],[Revenue]]-SalesData[[#This Row],[Cost]]</f>
        <v>902.21</v>
      </c>
      <c r="Q426" s="5">
        <f>IFERROR(SalesData[[#This Row],[Profit]]/SalesData[[#This Row],[Revenue]],0)</f>
        <v>0.26693393295659634</v>
      </c>
      <c r="R426" s="3">
        <f>SalesData[[#This Row],[Revenue]]-SalesData[[#This Row],[Target]]</f>
        <v>-7.3600000000001273</v>
      </c>
      <c r="S426" s="3" t="str">
        <f t="shared" si="6"/>
        <v>Below Target</v>
      </c>
    </row>
    <row r="427" spans="1:19" ht="13.8">
      <c r="A427" t="s">
        <v>603</v>
      </c>
      <c r="B427" s="21">
        <v>45842</v>
      </c>
      <c r="C427" t="s">
        <v>15</v>
      </c>
      <c r="D427" t="s">
        <v>16</v>
      </c>
      <c r="E427" t="s">
        <v>150</v>
      </c>
      <c r="F427" t="s">
        <v>32</v>
      </c>
      <c r="G427" t="s">
        <v>45</v>
      </c>
      <c r="H427" t="s">
        <v>44</v>
      </c>
      <c r="I427">
        <v>10</v>
      </c>
      <c r="J427">
        <v>272.35000000000002</v>
      </c>
      <c r="K427">
        <v>0</v>
      </c>
      <c r="L427">
        <v>2723.5</v>
      </c>
      <c r="M427">
        <v>1849.63</v>
      </c>
      <c r="N427">
        <v>2853.86</v>
      </c>
      <c r="O427" s="3">
        <f>_xlfn.XLOOKUP(SalesData[[#This Row],[Product]],ProductLookup[Product],ProductLookup[Standard_Price],"Not Found")</f>
        <v>260</v>
      </c>
      <c r="P427" s="3">
        <f>SalesData[[#This Row],[Revenue]]-SalesData[[#This Row],[Cost]]</f>
        <v>873.86999999999989</v>
      </c>
      <c r="Q427" s="5">
        <f>IFERROR(SalesData[[#This Row],[Profit]]/SalesData[[#This Row],[Revenue]],0)</f>
        <v>0.32086286029006789</v>
      </c>
      <c r="R427" s="3">
        <f>SalesData[[#This Row],[Revenue]]-SalesData[[#This Row],[Target]]</f>
        <v>-130.36000000000013</v>
      </c>
      <c r="S427" s="3" t="str">
        <f t="shared" si="6"/>
        <v>Below Target</v>
      </c>
    </row>
    <row r="428" spans="1:19" ht="13.8">
      <c r="A428" t="s">
        <v>604</v>
      </c>
      <c r="B428" s="21">
        <v>45769</v>
      </c>
      <c r="C428" t="s">
        <v>22</v>
      </c>
      <c r="D428" t="s">
        <v>64</v>
      </c>
      <c r="E428" t="s">
        <v>266</v>
      </c>
      <c r="F428" t="s">
        <v>18</v>
      </c>
      <c r="G428" t="s">
        <v>19</v>
      </c>
      <c r="H428" t="s">
        <v>20</v>
      </c>
      <c r="I428">
        <v>8</v>
      </c>
      <c r="J428">
        <v>860.99</v>
      </c>
      <c r="K428">
        <v>0.02</v>
      </c>
      <c r="L428">
        <v>6750.16</v>
      </c>
      <c r="M428">
        <v>4713.72</v>
      </c>
      <c r="N428">
        <v>6755.62</v>
      </c>
      <c r="O428" s="3">
        <f>_xlfn.XLOOKUP(SalesData[[#This Row],[Product]],ProductLookup[Product],ProductLookup[Standard_Price],"Not Found")</f>
        <v>850</v>
      </c>
      <c r="P428" s="3">
        <f>SalesData[[#This Row],[Revenue]]-SalesData[[#This Row],[Cost]]</f>
        <v>2036.4399999999996</v>
      </c>
      <c r="Q428" s="5">
        <f>IFERROR(SalesData[[#This Row],[Profit]]/SalesData[[#This Row],[Revenue]],0)</f>
        <v>0.30168766369982336</v>
      </c>
      <c r="R428" s="3">
        <f>SalesData[[#This Row],[Revenue]]-SalesData[[#This Row],[Target]]</f>
        <v>-5.4600000000000364</v>
      </c>
      <c r="S428" s="3" t="str">
        <f t="shared" si="6"/>
        <v>Below Target</v>
      </c>
    </row>
    <row r="429" spans="1:19" ht="13.8">
      <c r="A429" t="s">
        <v>605</v>
      </c>
      <c r="B429" s="21">
        <v>45678</v>
      </c>
      <c r="C429" t="s">
        <v>67</v>
      </c>
      <c r="D429" t="s">
        <v>30</v>
      </c>
      <c r="E429" t="s">
        <v>164</v>
      </c>
      <c r="F429" t="s">
        <v>25</v>
      </c>
      <c r="G429" t="s">
        <v>33</v>
      </c>
      <c r="H429" t="s">
        <v>42</v>
      </c>
      <c r="I429">
        <v>14</v>
      </c>
      <c r="J429">
        <v>59.81</v>
      </c>
      <c r="K429">
        <v>0.05</v>
      </c>
      <c r="L429">
        <v>795.47</v>
      </c>
      <c r="M429">
        <v>516.57000000000005</v>
      </c>
      <c r="N429">
        <v>820.18</v>
      </c>
      <c r="O429" s="3">
        <f>_xlfn.XLOOKUP(SalesData[[#This Row],[Product]],ProductLookup[Product],ProductLookup[Standard_Price],"Not Found")</f>
        <v>60</v>
      </c>
      <c r="P429" s="3">
        <f>SalesData[[#This Row],[Revenue]]-SalesData[[#This Row],[Cost]]</f>
        <v>278.89999999999998</v>
      </c>
      <c r="Q429" s="5">
        <f>IFERROR(SalesData[[#This Row],[Profit]]/SalesData[[#This Row],[Revenue]],0)</f>
        <v>0.3506103309992834</v>
      </c>
      <c r="R429" s="3">
        <f>SalesData[[#This Row],[Revenue]]-SalesData[[#This Row],[Target]]</f>
        <v>-24.709999999999923</v>
      </c>
      <c r="S429" s="3" t="str">
        <f t="shared" si="6"/>
        <v>Below Target</v>
      </c>
    </row>
    <row r="430" spans="1:19" ht="13.8">
      <c r="A430" t="s">
        <v>606</v>
      </c>
      <c r="B430" s="21">
        <v>45769</v>
      </c>
      <c r="C430" t="s">
        <v>15</v>
      </c>
      <c r="D430" t="s">
        <v>23</v>
      </c>
      <c r="E430" t="s">
        <v>447</v>
      </c>
      <c r="F430" t="s">
        <v>25</v>
      </c>
      <c r="G430" t="s">
        <v>33</v>
      </c>
      <c r="H430" t="s">
        <v>42</v>
      </c>
      <c r="I430">
        <v>13</v>
      </c>
      <c r="J430">
        <v>61.92</v>
      </c>
      <c r="K430">
        <v>0.03</v>
      </c>
      <c r="L430">
        <v>780.81</v>
      </c>
      <c r="M430">
        <v>612.67999999999995</v>
      </c>
      <c r="N430">
        <v>838.66</v>
      </c>
      <c r="O430" s="3">
        <f>_xlfn.XLOOKUP(SalesData[[#This Row],[Product]],ProductLookup[Product],ProductLookup[Standard_Price],"Not Found")</f>
        <v>60</v>
      </c>
      <c r="P430" s="3">
        <f>SalesData[[#This Row],[Revenue]]-SalesData[[#This Row],[Cost]]</f>
        <v>168.13</v>
      </c>
      <c r="Q430" s="5">
        <f>IFERROR(SalesData[[#This Row],[Profit]]/SalesData[[#This Row],[Revenue]],0)</f>
        <v>0.21532767254517746</v>
      </c>
      <c r="R430" s="3">
        <f>SalesData[[#This Row],[Revenue]]-SalesData[[#This Row],[Target]]</f>
        <v>-57.850000000000023</v>
      </c>
      <c r="S430" s="3" t="str">
        <f t="shared" si="6"/>
        <v>Below Target</v>
      </c>
    </row>
    <row r="431" spans="1:19" ht="13.8">
      <c r="A431" t="s">
        <v>607</v>
      </c>
      <c r="B431" s="21">
        <v>45672</v>
      </c>
      <c r="C431" t="s">
        <v>15</v>
      </c>
      <c r="D431" t="s">
        <v>64</v>
      </c>
      <c r="E431" t="s">
        <v>100</v>
      </c>
      <c r="F431" t="s">
        <v>74</v>
      </c>
      <c r="G431" t="s">
        <v>45</v>
      </c>
      <c r="H431" t="s">
        <v>47</v>
      </c>
      <c r="I431">
        <v>9</v>
      </c>
      <c r="J431">
        <v>410.26</v>
      </c>
      <c r="K431">
        <v>0.03</v>
      </c>
      <c r="L431">
        <v>3581.57</v>
      </c>
      <c r="M431">
        <v>2198.63</v>
      </c>
      <c r="N431">
        <v>3693.32</v>
      </c>
      <c r="O431" s="3">
        <f>_xlfn.XLOOKUP(SalesData[[#This Row],[Product]],ProductLookup[Product],ProductLookup[Standard_Price],"Not Found")</f>
        <v>420</v>
      </c>
      <c r="P431" s="3">
        <f>SalesData[[#This Row],[Revenue]]-SalesData[[#This Row],[Cost]]</f>
        <v>1382.94</v>
      </c>
      <c r="Q431" s="5">
        <f>IFERROR(SalesData[[#This Row],[Profit]]/SalesData[[#This Row],[Revenue]],0)</f>
        <v>0.38612675446801265</v>
      </c>
      <c r="R431" s="3">
        <f>SalesData[[#This Row],[Revenue]]-SalesData[[#This Row],[Target]]</f>
        <v>-111.75</v>
      </c>
      <c r="S431" s="3" t="str">
        <f t="shared" si="6"/>
        <v>Below Target</v>
      </c>
    </row>
    <row r="432" spans="1:19" ht="13.8">
      <c r="A432" t="s">
        <v>608</v>
      </c>
      <c r="B432" s="21">
        <v>45857</v>
      </c>
      <c r="C432" t="s">
        <v>67</v>
      </c>
      <c r="D432" t="s">
        <v>64</v>
      </c>
      <c r="E432" t="s">
        <v>133</v>
      </c>
      <c r="F432" t="s">
        <v>32</v>
      </c>
      <c r="G432" t="s">
        <v>33</v>
      </c>
      <c r="H432" t="s">
        <v>42</v>
      </c>
      <c r="I432">
        <v>10</v>
      </c>
      <c r="J432">
        <v>59.45</v>
      </c>
      <c r="K432">
        <v>0.1</v>
      </c>
      <c r="L432">
        <v>535.04999999999995</v>
      </c>
      <c r="M432">
        <v>423.16</v>
      </c>
      <c r="N432">
        <v>598.70000000000005</v>
      </c>
      <c r="O432" s="3">
        <f>_xlfn.XLOOKUP(SalesData[[#This Row],[Product]],ProductLookup[Product],ProductLookup[Standard_Price],"Not Found")</f>
        <v>60</v>
      </c>
      <c r="P432" s="3">
        <f>SalesData[[#This Row],[Revenue]]-SalesData[[#This Row],[Cost]]</f>
        <v>111.88999999999993</v>
      </c>
      <c r="Q432" s="5">
        <f>IFERROR(SalesData[[#This Row],[Profit]]/SalesData[[#This Row],[Revenue]],0)</f>
        <v>0.20912064293056712</v>
      </c>
      <c r="R432" s="3">
        <f>SalesData[[#This Row],[Revenue]]-SalesData[[#This Row],[Target]]</f>
        <v>-63.650000000000091</v>
      </c>
      <c r="S432" s="3" t="str">
        <f t="shared" si="6"/>
        <v>Below Target</v>
      </c>
    </row>
    <row r="433" spans="1:19" ht="13.8">
      <c r="A433" t="s">
        <v>609</v>
      </c>
      <c r="B433" s="21">
        <v>45694</v>
      </c>
      <c r="C433" t="s">
        <v>22</v>
      </c>
      <c r="D433" t="s">
        <v>23</v>
      </c>
      <c r="E433" t="s">
        <v>316</v>
      </c>
      <c r="F433" t="s">
        <v>25</v>
      </c>
      <c r="G433" t="s">
        <v>45</v>
      </c>
      <c r="H433" t="s">
        <v>44</v>
      </c>
      <c r="I433">
        <v>8</v>
      </c>
      <c r="J433">
        <v>261.97000000000003</v>
      </c>
      <c r="K433">
        <v>0.05</v>
      </c>
      <c r="L433">
        <v>1990.97</v>
      </c>
      <c r="M433">
        <v>1393.43</v>
      </c>
      <c r="N433">
        <v>2078.25</v>
      </c>
      <c r="O433" s="3">
        <f>_xlfn.XLOOKUP(SalesData[[#This Row],[Product]],ProductLookup[Product],ProductLookup[Standard_Price],"Not Found")</f>
        <v>260</v>
      </c>
      <c r="P433" s="3">
        <f>SalesData[[#This Row],[Revenue]]-SalesData[[#This Row],[Cost]]</f>
        <v>597.54</v>
      </c>
      <c r="Q433" s="5">
        <f>IFERROR(SalesData[[#This Row],[Profit]]/SalesData[[#This Row],[Revenue]],0)</f>
        <v>0.30012506466697136</v>
      </c>
      <c r="R433" s="3">
        <f>SalesData[[#This Row],[Revenue]]-SalesData[[#This Row],[Target]]</f>
        <v>-87.279999999999973</v>
      </c>
      <c r="S433" s="3" t="str">
        <f t="shared" si="6"/>
        <v>Below Target</v>
      </c>
    </row>
    <row r="434" spans="1:19" ht="13.8">
      <c r="A434" t="s">
        <v>610</v>
      </c>
      <c r="B434" s="21">
        <v>45715</v>
      </c>
      <c r="C434" t="s">
        <v>15</v>
      </c>
      <c r="D434" t="s">
        <v>68</v>
      </c>
      <c r="E434" t="s">
        <v>447</v>
      </c>
      <c r="F434" t="s">
        <v>25</v>
      </c>
      <c r="G434" t="s">
        <v>33</v>
      </c>
      <c r="H434" t="s">
        <v>34</v>
      </c>
      <c r="I434">
        <v>3</v>
      </c>
      <c r="J434">
        <v>34.24</v>
      </c>
      <c r="K434">
        <v>0.02</v>
      </c>
      <c r="L434">
        <v>100.67</v>
      </c>
      <c r="M434">
        <v>62.1</v>
      </c>
      <c r="N434">
        <v>110.27</v>
      </c>
      <c r="O434" s="3">
        <f>_xlfn.XLOOKUP(SalesData[[#This Row],[Product]],ProductLookup[Product],ProductLookup[Standard_Price],"Not Found")</f>
        <v>35</v>
      </c>
      <c r="P434" s="3">
        <f>SalesData[[#This Row],[Revenue]]-SalesData[[#This Row],[Cost]]</f>
        <v>38.57</v>
      </c>
      <c r="Q434" s="5">
        <f>IFERROR(SalesData[[#This Row],[Profit]]/SalesData[[#This Row],[Revenue]],0)</f>
        <v>0.38313300884076684</v>
      </c>
      <c r="R434" s="3">
        <f>SalesData[[#This Row],[Revenue]]-SalesData[[#This Row],[Target]]</f>
        <v>-9.5999999999999943</v>
      </c>
      <c r="S434" s="3" t="str">
        <f t="shared" si="6"/>
        <v>Below Target</v>
      </c>
    </row>
    <row r="435" spans="1:19" ht="13.8">
      <c r="A435" t="s">
        <v>611</v>
      </c>
      <c r="B435" s="21">
        <v>46018</v>
      </c>
      <c r="C435" t="s">
        <v>67</v>
      </c>
      <c r="D435" t="s">
        <v>82</v>
      </c>
      <c r="E435" t="s">
        <v>250</v>
      </c>
      <c r="F435" t="s">
        <v>18</v>
      </c>
      <c r="G435" t="s">
        <v>45</v>
      </c>
      <c r="H435" t="s">
        <v>46</v>
      </c>
      <c r="I435">
        <v>4</v>
      </c>
      <c r="J435">
        <v>349.29</v>
      </c>
      <c r="K435">
        <v>0.02</v>
      </c>
      <c r="L435">
        <v>1369.22</v>
      </c>
      <c r="M435">
        <v>990.3</v>
      </c>
      <c r="N435">
        <v>1435.35</v>
      </c>
      <c r="O435" s="3">
        <f>_xlfn.XLOOKUP(SalesData[[#This Row],[Product]],ProductLookup[Product],ProductLookup[Standard_Price],"Not Found")</f>
        <v>340</v>
      </c>
      <c r="P435" s="3">
        <f>SalesData[[#This Row],[Revenue]]-SalesData[[#This Row],[Cost]]</f>
        <v>378.92000000000007</v>
      </c>
      <c r="Q435" s="5">
        <f>IFERROR(SalesData[[#This Row],[Profit]]/SalesData[[#This Row],[Revenue]],0)</f>
        <v>0.27674150246125534</v>
      </c>
      <c r="R435" s="3">
        <f>SalesData[[#This Row],[Revenue]]-SalesData[[#This Row],[Target]]</f>
        <v>-66.129999999999882</v>
      </c>
      <c r="S435" s="3" t="str">
        <f t="shared" si="6"/>
        <v>Below Target</v>
      </c>
    </row>
    <row r="436" spans="1:19" ht="13.8">
      <c r="A436" t="s">
        <v>612</v>
      </c>
      <c r="B436" s="21">
        <v>45971</v>
      </c>
      <c r="C436" t="s">
        <v>67</v>
      </c>
      <c r="D436" t="s">
        <v>64</v>
      </c>
      <c r="E436" t="s">
        <v>215</v>
      </c>
      <c r="F436" t="s">
        <v>25</v>
      </c>
      <c r="G436" t="s">
        <v>45</v>
      </c>
      <c r="H436" t="s">
        <v>46</v>
      </c>
      <c r="I436">
        <v>1</v>
      </c>
      <c r="J436">
        <v>325.13</v>
      </c>
      <c r="K436">
        <v>0.02</v>
      </c>
      <c r="L436">
        <v>318.63</v>
      </c>
      <c r="M436">
        <v>220.47</v>
      </c>
      <c r="N436">
        <v>344.28</v>
      </c>
      <c r="O436" s="3">
        <f>_xlfn.XLOOKUP(SalesData[[#This Row],[Product]],ProductLookup[Product],ProductLookup[Standard_Price],"Not Found")</f>
        <v>340</v>
      </c>
      <c r="P436" s="3">
        <f>SalesData[[#This Row],[Revenue]]-SalesData[[#This Row],[Cost]]</f>
        <v>98.16</v>
      </c>
      <c r="Q436" s="5">
        <f>IFERROR(SalesData[[#This Row],[Profit]]/SalesData[[#This Row],[Revenue]],0)</f>
        <v>0.30806892006402409</v>
      </c>
      <c r="R436" s="3">
        <f>SalesData[[#This Row],[Revenue]]-SalesData[[#This Row],[Target]]</f>
        <v>-25.649999999999977</v>
      </c>
      <c r="S436" s="3" t="str">
        <f t="shared" si="6"/>
        <v>Below Target</v>
      </c>
    </row>
    <row r="437" spans="1:19" ht="13.8">
      <c r="A437" t="s">
        <v>613</v>
      </c>
      <c r="B437" s="21">
        <v>45947</v>
      </c>
      <c r="C437" t="s">
        <v>67</v>
      </c>
      <c r="D437" t="s">
        <v>68</v>
      </c>
      <c r="E437" t="s">
        <v>94</v>
      </c>
      <c r="F437" t="s">
        <v>18</v>
      </c>
      <c r="G437" t="s">
        <v>45</v>
      </c>
      <c r="H437" t="s">
        <v>44</v>
      </c>
      <c r="I437">
        <v>6</v>
      </c>
      <c r="J437">
        <v>272.77999999999997</v>
      </c>
      <c r="K437">
        <v>0.03</v>
      </c>
      <c r="L437">
        <v>1587.58</v>
      </c>
      <c r="M437">
        <v>989.31</v>
      </c>
      <c r="N437">
        <v>1678.78</v>
      </c>
      <c r="O437" s="3">
        <f>_xlfn.XLOOKUP(SalesData[[#This Row],[Product]],ProductLookup[Product],ProductLookup[Standard_Price],"Not Found")</f>
        <v>260</v>
      </c>
      <c r="P437" s="3">
        <f>SalesData[[#This Row],[Revenue]]-SalesData[[#This Row],[Cost]]</f>
        <v>598.27</v>
      </c>
      <c r="Q437" s="5">
        <f>IFERROR(SalesData[[#This Row],[Profit]]/SalesData[[#This Row],[Revenue]],0)</f>
        <v>0.376844001562126</v>
      </c>
      <c r="R437" s="3">
        <f>SalesData[[#This Row],[Revenue]]-SalesData[[#This Row],[Target]]</f>
        <v>-91.200000000000045</v>
      </c>
      <c r="S437" s="3" t="str">
        <f t="shared" si="6"/>
        <v>Below Target</v>
      </c>
    </row>
    <row r="438" spans="1:19" ht="13.8">
      <c r="A438" t="s">
        <v>614</v>
      </c>
      <c r="B438" s="21">
        <v>45890</v>
      </c>
      <c r="C438" t="s">
        <v>22</v>
      </c>
      <c r="D438" t="s">
        <v>16</v>
      </c>
      <c r="E438" t="s">
        <v>111</v>
      </c>
      <c r="F438" t="s">
        <v>32</v>
      </c>
      <c r="G438" t="s">
        <v>45</v>
      </c>
      <c r="H438" t="s">
        <v>47</v>
      </c>
      <c r="I438">
        <v>2</v>
      </c>
      <c r="J438">
        <v>413.4</v>
      </c>
      <c r="K438">
        <v>0.02</v>
      </c>
      <c r="L438">
        <v>810.26</v>
      </c>
      <c r="M438">
        <v>551.02</v>
      </c>
      <c r="N438">
        <v>884.98</v>
      </c>
      <c r="O438" s="3">
        <f>_xlfn.XLOOKUP(SalesData[[#This Row],[Product]],ProductLookup[Product],ProductLookup[Standard_Price],"Not Found")</f>
        <v>420</v>
      </c>
      <c r="P438" s="3">
        <f>SalesData[[#This Row],[Revenue]]-SalesData[[#This Row],[Cost]]</f>
        <v>259.24</v>
      </c>
      <c r="Q438" s="5">
        <f>IFERROR(SalesData[[#This Row],[Profit]]/SalesData[[#This Row],[Revenue]],0)</f>
        <v>0.31994668378051488</v>
      </c>
      <c r="R438" s="3">
        <f>SalesData[[#This Row],[Revenue]]-SalesData[[#This Row],[Target]]</f>
        <v>-74.720000000000027</v>
      </c>
      <c r="S438" s="3" t="str">
        <f t="shared" si="6"/>
        <v>Below Target</v>
      </c>
    </row>
    <row r="439" spans="1:19" ht="13.8">
      <c r="A439" t="s">
        <v>615</v>
      </c>
      <c r="B439" s="21">
        <v>45821</v>
      </c>
      <c r="C439" t="s">
        <v>67</v>
      </c>
      <c r="D439" t="s">
        <v>64</v>
      </c>
      <c r="E439" t="s">
        <v>85</v>
      </c>
      <c r="F439" t="s">
        <v>25</v>
      </c>
      <c r="G439" t="s">
        <v>33</v>
      </c>
      <c r="H439" t="s">
        <v>41</v>
      </c>
      <c r="I439">
        <v>15</v>
      </c>
      <c r="J439">
        <v>87.74</v>
      </c>
      <c r="K439">
        <v>0.02</v>
      </c>
      <c r="L439">
        <v>1289.78</v>
      </c>
      <c r="M439">
        <v>1015.05</v>
      </c>
      <c r="N439">
        <v>1298.54</v>
      </c>
      <c r="O439" s="3">
        <f>_xlfn.XLOOKUP(SalesData[[#This Row],[Product]],ProductLookup[Product],ProductLookup[Standard_Price],"Not Found")</f>
        <v>85</v>
      </c>
      <c r="P439" s="3">
        <f>SalesData[[#This Row],[Revenue]]-SalesData[[#This Row],[Cost]]</f>
        <v>274.73</v>
      </c>
      <c r="Q439" s="5">
        <f>IFERROR(SalesData[[#This Row],[Profit]]/SalesData[[#This Row],[Revenue]],0)</f>
        <v>0.21300531873652873</v>
      </c>
      <c r="R439" s="3">
        <f>SalesData[[#This Row],[Revenue]]-SalesData[[#This Row],[Target]]</f>
        <v>-8.7599999999999909</v>
      </c>
      <c r="S439" s="3" t="str">
        <f t="shared" si="6"/>
        <v>Below Target</v>
      </c>
    </row>
    <row r="440" spans="1:19" ht="13.8">
      <c r="A440" t="s">
        <v>616</v>
      </c>
      <c r="B440" s="21">
        <v>45839</v>
      </c>
      <c r="C440" t="s">
        <v>22</v>
      </c>
      <c r="D440" t="s">
        <v>82</v>
      </c>
      <c r="E440" t="s">
        <v>356</v>
      </c>
      <c r="F440" t="s">
        <v>74</v>
      </c>
      <c r="G440" t="s">
        <v>26</v>
      </c>
      <c r="H440" t="s">
        <v>27</v>
      </c>
      <c r="I440">
        <v>11</v>
      </c>
      <c r="J440">
        <v>304.68</v>
      </c>
      <c r="K440">
        <v>0.02</v>
      </c>
      <c r="L440">
        <v>3284.45</v>
      </c>
      <c r="M440">
        <v>2483.86</v>
      </c>
      <c r="N440">
        <v>3635.48</v>
      </c>
      <c r="O440" s="3">
        <f>_xlfn.XLOOKUP(SalesData[[#This Row],[Product]],ProductLookup[Product],ProductLookup[Standard_Price],"Not Found")</f>
        <v>320</v>
      </c>
      <c r="P440" s="3">
        <f>SalesData[[#This Row],[Revenue]]-SalesData[[#This Row],[Cost]]</f>
        <v>800.58999999999969</v>
      </c>
      <c r="Q440" s="5">
        <f>IFERROR(SalesData[[#This Row],[Profit]]/SalesData[[#This Row],[Revenue]],0)</f>
        <v>0.24375161747020041</v>
      </c>
      <c r="R440" s="3">
        <f>SalesData[[#This Row],[Revenue]]-SalesData[[#This Row],[Target]]</f>
        <v>-351.0300000000002</v>
      </c>
      <c r="S440" s="3" t="str">
        <f t="shared" si="6"/>
        <v>Below Target</v>
      </c>
    </row>
    <row r="441" spans="1:19" ht="27.6">
      <c r="A441" t="s">
        <v>617</v>
      </c>
      <c r="B441" s="21">
        <v>45740</v>
      </c>
      <c r="C441" t="s">
        <v>22</v>
      </c>
      <c r="D441" t="s">
        <v>16</v>
      </c>
      <c r="E441" t="s">
        <v>24</v>
      </c>
      <c r="F441" t="s">
        <v>18</v>
      </c>
      <c r="G441" t="s">
        <v>45</v>
      </c>
      <c r="H441" t="s">
        <v>47</v>
      </c>
      <c r="I441">
        <v>15</v>
      </c>
      <c r="J441">
        <v>434.34</v>
      </c>
      <c r="K441">
        <v>0.02</v>
      </c>
      <c r="L441">
        <v>6384.8</v>
      </c>
      <c r="M441">
        <v>4025.17</v>
      </c>
      <c r="N441">
        <v>5788.91</v>
      </c>
      <c r="O441" s="3">
        <f>_xlfn.XLOOKUP(SalesData[[#This Row],[Product]],ProductLookup[Product],ProductLookup[Standard_Price],"Not Found")</f>
        <v>420</v>
      </c>
      <c r="P441" s="3">
        <f>SalesData[[#This Row],[Revenue]]-SalesData[[#This Row],[Cost]]</f>
        <v>2359.63</v>
      </c>
      <c r="Q441" s="5">
        <f>IFERROR(SalesData[[#This Row],[Profit]]/SalesData[[#This Row],[Revenue]],0)</f>
        <v>0.36956991605062023</v>
      </c>
      <c r="R441" s="3">
        <f>SalesData[[#This Row],[Revenue]]-SalesData[[#This Row],[Target]]</f>
        <v>595.89000000000033</v>
      </c>
      <c r="S441" s="3" t="str">
        <f t="shared" si="6"/>
        <v>Above Target</v>
      </c>
    </row>
    <row r="442" spans="1:19" ht="27.6">
      <c r="A442" t="s">
        <v>618</v>
      </c>
      <c r="B442" s="21">
        <v>45895</v>
      </c>
      <c r="C442" t="s">
        <v>67</v>
      </c>
      <c r="D442" t="s">
        <v>30</v>
      </c>
      <c r="E442" t="s">
        <v>536</v>
      </c>
      <c r="F442" t="s">
        <v>74</v>
      </c>
      <c r="G442" t="s">
        <v>45</v>
      </c>
      <c r="H442" t="s">
        <v>47</v>
      </c>
      <c r="I442">
        <v>1</v>
      </c>
      <c r="J442">
        <v>407.57</v>
      </c>
      <c r="K442">
        <v>0.08</v>
      </c>
      <c r="L442">
        <v>374.96</v>
      </c>
      <c r="M442">
        <v>269.04000000000002</v>
      </c>
      <c r="N442">
        <v>336.35</v>
      </c>
      <c r="O442" s="3">
        <f>_xlfn.XLOOKUP(SalesData[[#This Row],[Product]],ProductLookup[Product],ProductLookup[Standard_Price],"Not Found")</f>
        <v>420</v>
      </c>
      <c r="P442" s="3">
        <f>SalesData[[#This Row],[Revenue]]-SalesData[[#This Row],[Cost]]</f>
        <v>105.91999999999996</v>
      </c>
      <c r="Q442" s="5">
        <f>IFERROR(SalesData[[#This Row],[Profit]]/SalesData[[#This Row],[Revenue]],0)</f>
        <v>0.28248346490292287</v>
      </c>
      <c r="R442" s="3">
        <f>SalesData[[#This Row],[Revenue]]-SalesData[[#This Row],[Target]]</f>
        <v>38.609999999999957</v>
      </c>
      <c r="S442" s="3" t="str">
        <f t="shared" si="6"/>
        <v>Above Target</v>
      </c>
    </row>
    <row r="443" spans="1:19" ht="13.8">
      <c r="A443" t="s">
        <v>619</v>
      </c>
      <c r="B443" s="21">
        <v>45906</v>
      </c>
      <c r="C443" t="s">
        <v>22</v>
      </c>
      <c r="D443" t="s">
        <v>16</v>
      </c>
      <c r="E443" t="s">
        <v>71</v>
      </c>
      <c r="F443" t="s">
        <v>25</v>
      </c>
      <c r="G443" t="s">
        <v>45</v>
      </c>
      <c r="H443" t="s">
        <v>47</v>
      </c>
      <c r="I443">
        <v>11</v>
      </c>
      <c r="J443">
        <v>436.97</v>
      </c>
      <c r="K443">
        <v>0</v>
      </c>
      <c r="L443">
        <v>4806.67</v>
      </c>
      <c r="M443">
        <v>3141.4</v>
      </c>
      <c r="N443">
        <v>5274.8</v>
      </c>
      <c r="O443" s="3">
        <f>_xlfn.XLOOKUP(SalesData[[#This Row],[Product]],ProductLookup[Product],ProductLookup[Standard_Price],"Not Found")</f>
        <v>420</v>
      </c>
      <c r="P443" s="3">
        <f>SalesData[[#This Row],[Revenue]]-SalesData[[#This Row],[Cost]]</f>
        <v>1665.27</v>
      </c>
      <c r="Q443" s="5">
        <f>IFERROR(SalesData[[#This Row],[Profit]]/SalesData[[#This Row],[Revenue]],0)</f>
        <v>0.34644982909165806</v>
      </c>
      <c r="R443" s="3">
        <f>SalesData[[#This Row],[Revenue]]-SalesData[[#This Row],[Target]]</f>
        <v>-468.13000000000011</v>
      </c>
      <c r="S443" s="3" t="str">
        <f t="shared" si="6"/>
        <v>Below Target</v>
      </c>
    </row>
    <row r="444" spans="1:19" ht="13.8">
      <c r="A444" t="s">
        <v>620</v>
      </c>
      <c r="B444" s="21">
        <v>45760</v>
      </c>
      <c r="C444" t="s">
        <v>15</v>
      </c>
      <c r="D444" t="s">
        <v>64</v>
      </c>
      <c r="E444" t="s">
        <v>356</v>
      </c>
      <c r="F444" t="s">
        <v>18</v>
      </c>
      <c r="G444" t="s">
        <v>33</v>
      </c>
      <c r="H444" t="s">
        <v>41</v>
      </c>
      <c r="I444">
        <v>8</v>
      </c>
      <c r="J444">
        <v>85.61</v>
      </c>
      <c r="K444">
        <v>0.1</v>
      </c>
      <c r="L444">
        <v>616.39</v>
      </c>
      <c r="M444">
        <v>462.77</v>
      </c>
      <c r="N444">
        <v>677.64</v>
      </c>
      <c r="O444" s="3">
        <f>_xlfn.XLOOKUP(SalesData[[#This Row],[Product]],ProductLookup[Product],ProductLookup[Standard_Price],"Not Found")</f>
        <v>85</v>
      </c>
      <c r="P444" s="3">
        <f>SalesData[[#This Row],[Revenue]]-SalesData[[#This Row],[Cost]]</f>
        <v>153.62</v>
      </c>
      <c r="Q444" s="5">
        <f>IFERROR(SalesData[[#This Row],[Profit]]/SalesData[[#This Row],[Revenue]],0)</f>
        <v>0.24922532812018366</v>
      </c>
      <c r="R444" s="3">
        <f>SalesData[[#This Row],[Revenue]]-SalesData[[#This Row],[Target]]</f>
        <v>-61.25</v>
      </c>
      <c r="S444" s="3" t="str">
        <f t="shared" si="6"/>
        <v>Below Target</v>
      </c>
    </row>
    <row r="445" spans="1:19" ht="13.8">
      <c r="A445" t="s">
        <v>621</v>
      </c>
      <c r="B445" s="21">
        <v>45898</v>
      </c>
      <c r="C445" t="s">
        <v>22</v>
      </c>
      <c r="D445" t="s">
        <v>82</v>
      </c>
      <c r="E445" t="s">
        <v>283</v>
      </c>
      <c r="F445" t="s">
        <v>74</v>
      </c>
      <c r="G445" t="s">
        <v>19</v>
      </c>
      <c r="H445" t="s">
        <v>38</v>
      </c>
      <c r="I445">
        <v>7</v>
      </c>
      <c r="J445">
        <v>964.43</v>
      </c>
      <c r="K445">
        <v>0.1</v>
      </c>
      <c r="L445">
        <v>6075.91</v>
      </c>
      <c r="M445">
        <v>4968.78</v>
      </c>
      <c r="N445">
        <v>6392.09</v>
      </c>
      <c r="O445" s="3">
        <f>_xlfn.XLOOKUP(SalesData[[#This Row],[Product]],ProductLookup[Product],ProductLookup[Standard_Price],"Not Found")</f>
        <v>950</v>
      </c>
      <c r="P445" s="3">
        <f>SalesData[[#This Row],[Revenue]]-SalesData[[#This Row],[Cost]]</f>
        <v>1107.1300000000001</v>
      </c>
      <c r="Q445" s="5">
        <f>IFERROR(SalesData[[#This Row],[Profit]]/SalesData[[#This Row],[Revenue]],0)</f>
        <v>0.18221632644328176</v>
      </c>
      <c r="R445" s="3">
        <f>SalesData[[#This Row],[Revenue]]-SalesData[[#This Row],[Target]]</f>
        <v>-316.18000000000029</v>
      </c>
      <c r="S445" s="3" t="str">
        <f t="shared" si="6"/>
        <v>Below Target</v>
      </c>
    </row>
    <row r="446" spans="1:19" ht="13.8">
      <c r="A446" t="s">
        <v>622</v>
      </c>
      <c r="B446" s="21">
        <v>45968</v>
      </c>
      <c r="C446" t="s">
        <v>29</v>
      </c>
      <c r="D446" t="s">
        <v>16</v>
      </c>
      <c r="E446" t="s">
        <v>180</v>
      </c>
      <c r="F446" t="s">
        <v>25</v>
      </c>
      <c r="G446" t="s">
        <v>19</v>
      </c>
      <c r="H446" t="s">
        <v>38</v>
      </c>
      <c r="I446">
        <v>2</v>
      </c>
      <c r="J446">
        <v>988.86</v>
      </c>
      <c r="K446">
        <v>0.08</v>
      </c>
      <c r="L446">
        <v>1819.5</v>
      </c>
      <c r="M446">
        <v>1244.49</v>
      </c>
      <c r="N446">
        <v>1906.72</v>
      </c>
      <c r="O446" s="3">
        <f>_xlfn.XLOOKUP(SalesData[[#This Row],[Product]],ProductLookup[Product],ProductLookup[Standard_Price],"Not Found")</f>
        <v>950</v>
      </c>
      <c r="P446" s="3">
        <f>SalesData[[#This Row],[Revenue]]-SalesData[[#This Row],[Cost]]</f>
        <v>575.01</v>
      </c>
      <c r="Q446" s="5">
        <f>IFERROR(SalesData[[#This Row],[Profit]]/SalesData[[#This Row],[Revenue]],0)</f>
        <v>0.31602638087386642</v>
      </c>
      <c r="R446" s="3">
        <f>SalesData[[#This Row],[Revenue]]-SalesData[[#This Row],[Target]]</f>
        <v>-87.220000000000027</v>
      </c>
      <c r="S446" s="3" t="str">
        <f t="shared" si="6"/>
        <v>Below Target</v>
      </c>
    </row>
    <row r="447" spans="1:19" ht="13.8">
      <c r="A447" t="s">
        <v>623</v>
      </c>
      <c r="B447" s="21">
        <v>45982</v>
      </c>
      <c r="C447" t="s">
        <v>15</v>
      </c>
      <c r="D447" t="s">
        <v>16</v>
      </c>
      <c r="E447" t="s">
        <v>172</v>
      </c>
      <c r="F447" t="s">
        <v>18</v>
      </c>
      <c r="G447" t="s">
        <v>45</v>
      </c>
      <c r="H447" t="s">
        <v>46</v>
      </c>
      <c r="I447">
        <v>12</v>
      </c>
      <c r="J447">
        <v>345.02</v>
      </c>
      <c r="K447">
        <v>0.02</v>
      </c>
      <c r="L447">
        <v>4057.44</v>
      </c>
      <c r="M447">
        <v>2518.19</v>
      </c>
      <c r="N447">
        <v>4521.1099999999997</v>
      </c>
      <c r="O447" s="3">
        <f>_xlfn.XLOOKUP(SalesData[[#This Row],[Product]],ProductLookup[Product],ProductLookup[Standard_Price],"Not Found")</f>
        <v>340</v>
      </c>
      <c r="P447" s="3">
        <f>SalesData[[#This Row],[Revenue]]-SalesData[[#This Row],[Cost]]</f>
        <v>1539.25</v>
      </c>
      <c r="Q447" s="5">
        <f>IFERROR(SalesData[[#This Row],[Profit]]/SalesData[[#This Row],[Revenue]],0)</f>
        <v>0.37936482116802711</v>
      </c>
      <c r="R447" s="3">
        <f>SalesData[[#This Row],[Revenue]]-SalesData[[#This Row],[Target]]</f>
        <v>-463.66999999999962</v>
      </c>
      <c r="S447" s="3" t="str">
        <f t="shared" si="6"/>
        <v>Below Target</v>
      </c>
    </row>
    <row r="448" spans="1:19" ht="13.8">
      <c r="A448" t="s">
        <v>624</v>
      </c>
      <c r="B448" s="21">
        <v>45863</v>
      </c>
      <c r="C448" t="s">
        <v>22</v>
      </c>
      <c r="D448" t="s">
        <v>30</v>
      </c>
      <c r="E448" t="s">
        <v>135</v>
      </c>
      <c r="F448" t="s">
        <v>25</v>
      </c>
      <c r="G448" t="s">
        <v>26</v>
      </c>
      <c r="H448" t="s">
        <v>39</v>
      </c>
      <c r="I448">
        <v>15</v>
      </c>
      <c r="J448">
        <v>230.11</v>
      </c>
      <c r="K448">
        <v>0.1</v>
      </c>
      <c r="L448">
        <v>3106.49</v>
      </c>
      <c r="M448">
        <v>1894.12</v>
      </c>
      <c r="N448">
        <v>3148.38</v>
      </c>
      <c r="O448" s="3">
        <f>_xlfn.XLOOKUP(SalesData[[#This Row],[Product]],ProductLookup[Product],ProductLookup[Standard_Price],"Not Found")</f>
        <v>220</v>
      </c>
      <c r="P448" s="3">
        <f>SalesData[[#This Row],[Revenue]]-SalesData[[#This Row],[Cost]]</f>
        <v>1212.3699999999999</v>
      </c>
      <c r="Q448" s="5">
        <f>IFERROR(SalesData[[#This Row],[Profit]]/SalesData[[#This Row],[Revenue]],0)</f>
        <v>0.39027004754562222</v>
      </c>
      <c r="R448" s="3">
        <f>SalesData[[#This Row],[Revenue]]-SalesData[[#This Row],[Target]]</f>
        <v>-41.890000000000327</v>
      </c>
      <c r="S448" s="3" t="str">
        <f t="shared" si="6"/>
        <v>Below Target</v>
      </c>
    </row>
    <row r="449" spans="1:19" ht="13.8">
      <c r="A449" t="s">
        <v>625</v>
      </c>
      <c r="B449" s="21">
        <v>45897</v>
      </c>
      <c r="C449" t="s">
        <v>15</v>
      </c>
      <c r="D449" t="s">
        <v>23</v>
      </c>
      <c r="E449" t="s">
        <v>69</v>
      </c>
      <c r="F449" t="s">
        <v>25</v>
      </c>
      <c r="G449" t="s">
        <v>19</v>
      </c>
      <c r="H449" t="s">
        <v>20</v>
      </c>
      <c r="I449">
        <v>8</v>
      </c>
      <c r="J449">
        <v>871.86</v>
      </c>
      <c r="K449">
        <v>0</v>
      </c>
      <c r="L449">
        <v>6974.88</v>
      </c>
      <c r="M449">
        <v>5350.38</v>
      </c>
      <c r="N449">
        <v>7614.89</v>
      </c>
      <c r="O449" s="3">
        <f>_xlfn.XLOOKUP(SalesData[[#This Row],[Product]],ProductLookup[Product],ProductLookup[Standard_Price],"Not Found")</f>
        <v>850</v>
      </c>
      <c r="P449" s="3">
        <f>SalesData[[#This Row],[Revenue]]-SalesData[[#This Row],[Cost]]</f>
        <v>1624.5</v>
      </c>
      <c r="Q449" s="5">
        <f>IFERROR(SalesData[[#This Row],[Profit]]/SalesData[[#This Row],[Revenue]],0)</f>
        <v>0.23290723281260753</v>
      </c>
      <c r="R449" s="3">
        <f>SalesData[[#This Row],[Revenue]]-SalesData[[#This Row],[Target]]</f>
        <v>-640.01000000000022</v>
      </c>
      <c r="S449" s="3" t="str">
        <f t="shared" si="6"/>
        <v>Below Target</v>
      </c>
    </row>
    <row r="450" spans="1:19" ht="27.6">
      <c r="A450" t="s">
        <v>626</v>
      </c>
      <c r="B450" s="21">
        <v>45973</v>
      </c>
      <c r="C450" t="s">
        <v>15</v>
      </c>
      <c r="D450" t="s">
        <v>64</v>
      </c>
      <c r="E450" t="s">
        <v>197</v>
      </c>
      <c r="F450" t="s">
        <v>18</v>
      </c>
      <c r="G450" t="s">
        <v>33</v>
      </c>
      <c r="H450" t="s">
        <v>42</v>
      </c>
      <c r="I450">
        <v>6</v>
      </c>
      <c r="J450">
        <v>57.63</v>
      </c>
      <c r="K450">
        <v>0.05</v>
      </c>
      <c r="L450">
        <v>328.49</v>
      </c>
      <c r="M450">
        <v>263.32</v>
      </c>
      <c r="N450">
        <v>289.25</v>
      </c>
      <c r="O450" s="3">
        <f>_xlfn.XLOOKUP(SalesData[[#This Row],[Product]],ProductLookup[Product],ProductLookup[Standard_Price],"Not Found")</f>
        <v>60</v>
      </c>
      <c r="P450" s="3">
        <f>SalesData[[#This Row],[Revenue]]-SalesData[[#This Row],[Cost]]</f>
        <v>65.170000000000016</v>
      </c>
      <c r="Q450" s="5">
        <f>IFERROR(SalesData[[#This Row],[Profit]]/SalesData[[#This Row],[Revenue]],0)</f>
        <v>0.19839264513379407</v>
      </c>
      <c r="R450" s="3">
        <f>SalesData[[#This Row],[Revenue]]-SalesData[[#This Row],[Target]]</f>
        <v>39.240000000000009</v>
      </c>
      <c r="S450" s="3" t="str">
        <f t="shared" ref="S450:S501" si="7">IF(R450&gt;=0,"Above Target","Below Target")</f>
        <v>Above Target</v>
      </c>
    </row>
    <row r="451" spans="1:19" ht="27.6">
      <c r="A451" t="s">
        <v>627</v>
      </c>
      <c r="B451" s="21">
        <v>45915</v>
      </c>
      <c r="C451" t="s">
        <v>67</v>
      </c>
      <c r="D451" t="s">
        <v>68</v>
      </c>
      <c r="E451" t="s">
        <v>180</v>
      </c>
      <c r="F451" t="s">
        <v>18</v>
      </c>
      <c r="G451" t="s">
        <v>33</v>
      </c>
      <c r="H451" t="s">
        <v>42</v>
      </c>
      <c r="I451">
        <v>10</v>
      </c>
      <c r="J451">
        <v>60.68</v>
      </c>
      <c r="K451">
        <v>0.08</v>
      </c>
      <c r="L451">
        <v>558.26</v>
      </c>
      <c r="M451">
        <v>344.49</v>
      </c>
      <c r="N451">
        <v>498.54</v>
      </c>
      <c r="O451" s="3">
        <f>_xlfn.XLOOKUP(SalesData[[#This Row],[Product]],ProductLookup[Product],ProductLookup[Standard_Price],"Not Found")</f>
        <v>60</v>
      </c>
      <c r="P451" s="3">
        <f>SalesData[[#This Row],[Revenue]]-SalesData[[#This Row],[Cost]]</f>
        <v>213.76999999999998</v>
      </c>
      <c r="Q451" s="5">
        <f>IFERROR(SalesData[[#This Row],[Profit]]/SalesData[[#This Row],[Revenue]],0)</f>
        <v>0.38292193601547664</v>
      </c>
      <c r="R451" s="3">
        <f>SalesData[[#This Row],[Revenue]]-SalesData[[#This Row],[Target]]</f>
        <v>59.71999999999997</v>
      </c>
      <c r="S451" s="3" t="str">
        <f t="shared" si="7"/>
        <v>Above Target</v>
      </c>
    </row>
    <row r="452" spans="1:19" ht="27.6">
      <c r="A452" t="s">
        <v>628</v>
      </c>
      <c r="B452" s="21">
        <v>45944</v>
      </c>
      <c r="C452" t="s">
        <v>15</v>
      </c>
      <c r="D452" t="s">
        <v>82</v>
      </c>
      <c r="E452" t="s">
        <v>166</v>
      </c>
      <c r="F452" t="s">
        <v>25</v>
      </c>
      <c r="G452" t="s">
        <v>45</v>
      </c>
      <c r="H452" t="s">
        <v>46</v>
      </c>
      <c r="I452">
        <v>4</v>
      </c>
      <c r="J452">
        <v>323.82</v>
      </c>
      <c r="K452">
        <v>0.08</v>
      </c>
      <c r="L452">
        <v>1191.6600000000001</v>
      </c>
      <c r="M452">
        <v>927.76</v>
      </c>
      <c r="N452">
        <v>1179.6400000000001</v>
      </c>
      <c r="O452" s="3">
        <f>_xlfn.XLOOKUP(SalesData[[#This Row],[Product]],ProductLookup[Product],ProductLookup[Standard_Price],"Not Found")</f>
        <v>340</v>
      </c>
      <c r="P452" s="3">
        <f>SalesData[[#This Row],[Revenue]]-SalesData[[#This Row],[Cost]]</f>
        <v>263.90000000000009</v>
      </c>
      <c r="Q452" s="5">
        <f>IFERROR(SalesData[[#This Row],[Profit]]/SalesData[[#This Row],[Revenue]],0)</f>
        <v>0.22145578436802449</v>
      </c>
      <c r="R452" s="3">
        <f>SalesData[[#This Row],[Revenue]]-SalesData[[#This Row],[Target]]</f>
        <v>12.019999999999982</v>
      </c>
      <c r="S452" s="3" t="str">
        <f t="shared" si="7"/>
        <v>Above Target</v>
      </c>
    </row>
    <row r="453" spans="1:19" ht="27.6">
      <c r="A453" t="s">
        <v>629</v>
      </c>
      <c r="B453" s="21">
        <v>46001</v>
      </c>
      <c r="C453" t="s">
        <v>15</v>
      </c>
      <c r="D453" t="s">
        <v>16</v>
      </c>
      <c r="E453" t="s">
        <v>303</v>
      </c>
      <c r="F453" t="s">
        <v>25</v>
      </c>
      <c r="G453" t="s">
        <v>33</v>
      </c>
      <c r="H453" t="s">
        <v>34</v>
      </c>
      <c r="I453">
        <v>2</v>
      </c>
      <c r="J453">
        <v>35.39</v>
      </c>
      <c r="K453">
        <v>0</v>
      </c>
      <c r="L453">
        <v>70.78</v>
      </c>
      <c r="M453">
        <v>50.97</v>
      </c>
      <c r="N453">
        <v>68.27</v>
      </c>
      <c r="O453" s="3">
        <f>_xlfn.XLOOKUP(SalesData[[#This Row],[Product]],ProductLookup[Product],ProductLookup[Standard_Price],"Not Found")</f>
        <v>35</v>
      </c>
      <c r="P453" s="3">
        <f>SalesData[[#This Row],[Revenue]]-SalesData[[#This Row],[Cost]]</f>
        <v>19.810000000000002</v>
      </c>
      <c r="Q453" s="5">
        <f>IFERROR(SalesData[[#This Row],[Profit]]/SalesData[[#This Row],[Revenue]],0)</f>
        <v>0.27988132240745978</v>
      </c>
      <c r="R453" s="3">
        <f>SalesData[[#This Row],[Revenue]]-SalesData[[#This Row],[Target]]</f>
        <v>2.5100000000000051</v>
      </c>
      <c r="S453" s="3" t="str">
        <f t="shared" si="7"/>
        <v>Above Target</v>
      </c>
    </row>
    <row r="454" spans="1:19" ht="27.6">
      <c r="A454" t="s">
        <v>630</v>
      </c>
      <c r="B454" s="21">
        <v>45709</v>
      </c>
      <c r="C454" t="s">
        <v>67</v>
      </c>
      <c r="D454" t="s">
        <v>23</v>
      </c>
      <c r="E454" t="s">
        <v>17</v>
      </c>
      <c r="F454" t="s">
        <v>18</v>
      </c>
      <c r="G454" t="s">
        <v>19</v>
      </c>
      <c r="H454" t="s">
        <v>37</v>
      </c>
      <c r="I454">
        <v>6</v>
      </c>
      <c r="J454">
        <v>1075.1400000000001</v>
      </c>
      <c r="K454">
        <v>0.03</v>
      </c>
      <c r="L454">
        <v>6257.31</v>
      </c>
      <c r="M454">
        <v>4803.9399999999996</v>
      </c>
      <c r="N454">
        <v>5728.43</v>
      </c>
      <c r="O454" s="3">
        <f>_xlfn.XLOOKUP(SalesData[[#This Row],[Product]],ProductLookup[Product],ProductLookup[Standard_Price],"Not Found")</f>
        <v>1100</v>
      </c>
      <c r="P454" s="3">
        <f>SalesData[[#This Row],[Revenue]]-SalesData[[#This Row],[Cost]]</f>
        <v>1453.3700000000008</v>
      </c>
      <c r="Q454" s="5">
        <f>IFERROR(SalesData[[#This Row],[Profit]]/SalesData[[#This Row],[Revenue]],0)</f>
        <v>0.2322675398853502</v>
      </c>
      <c r="R454" s="3">
        <f>SalesData[[#This Row],[Revenue]]-SalesData[[#This Row],[Target]]</f>
        <v>528.88000000000011</v>
      </c>
      <c r="S454" s="3" t="str">
        <f t="shared" si="7"/>
        <v>Above Target</v>
      </c>
    </row>
    <row r="455" spans="1:19" ht="27.6">
      <c r="A455" t="s">
        <v>631</v>
      </c>
      <c r="B455" s="21">
        <v>45696</v>
      </c>
      <c r="C455" t="s">
        <v>22</v>
      </c>
      <c r="D455" t="s">
        <v>64</v>
      </c>
      <c r="E455" t="s">
        <v>195</v>
      </c>
      <c r="F455" t="s">
        <v>25</v>
      </c>
      <c r="G455" t="s">
        <v>19</v>
      </c>
      <c r="H455" t="s">
        <v>20</v>
      </c>
      <c r="I455">
        <v>2</v>
      </c>
      <c r="J455">
        <v>865.54</v>
      </c>
      <c r="K455">
        <v>0.08</v>
      </c>
      <c r="L455">
        <v>1592.59</v>
      </c>
      <c r="M455">
        <v>1030.49</v>
      </c>
      <c r="N455">
        <v>1548.78</v>
      </c>
      <c r="O455" s="3">
        <f>_xlfn.XLOOKUP(SalesData[[#This Row],[Product]],ProductLookup[Product],ProductLookup[Standard_Price],"Not Found")</f>
        <v>850</v>
      </c>
      <c r="P455" s="3">
        <f>SalesData[[#This Row],[Revenue]]-SalesData[[#This Row],[Cost]]</f>
        <v>562.09999999999991</v>
      </c>
      <c r="Q455" s="5">
        <f>IFERROR(SalesData[[#This Row],[Profit]]/SalesData[[#This Row],[Revenue]],0)</f>
        <v>0.35294708619293097</v>
      </c>
      <c r="R455" s="3">
        <f>SalesData[[#This Row],[Revenue]]-SalesData[[#This Row],[Target]]</f>
        <v>43.809999999999945</v>
      </c>
      <c r="S455" s="3" t="str">
        <f t="shared" si="7"/>
        <v>Above Target</v>
      </c>
    </row>
    <row r="456" spans="1:19" ht="13.8">
      <c r="A456" t="s">
        <v>632</v>
      </c>
      <c r="B456" s="21">
        <v>45698</v>
      </c>
      <c r="C456" t="s">
        <v>22</v>
      </c>
      <c r="D456" t="s">
        <v>16</v>
      </c>
      <c r="E456" t="s">
        <v>310</v>
      </c>
      <c r="F456" t="s">
        <v>32</v>
      </c>
      <c r="G456" t="s">
        <v>19</v>
      </c>
      <c r="H456" t="s">
        <v>20</v>
      </c>
      <c r="I456">
        <v>14</v>
      </c>
      <c r="J456">
        <v>812.51</v>
      </c>
      <c r="K456">
        <v>0.1</v>
      </c>
      <c r="L456">
        <v>10237.629999999999</v>
      </c>
      <c r="M456">
        <v>6211.55</v>
      </c>
      <c r="N456">
        <v>10682.02</v>
      </c>
      <c r="O456" s="3">
        <f>_xlfn.XLOOKUP(SalesData[[#This Row],[Product]],ProductLookup[Product],ProductLookup[Standard_Price],"Not Found")</f>
        <v>850</v>
      </c>
      <c r="P456" s="3">
        <f>SalesData[[#This Row],[Revenue]]-SalesData[[#This Row],[Cost]]</f>
        <v>4026.079999999999</v>
      </c>
      <c r="Q456" s="5">
        <f>IFERROR(SalesData[[#This Row],[Profit]]/SalesData[[#This Row],[Revenue]],0)</f>
        <v>0.39326289385336249</v>
      </c>
      <c r="R456" s="3">
        <f>SalesData[[#This Row],[Revenue]]-SalesData[[#This Row],[Target]]</f>
        <v>-444.39000000000124</v>
      </c>
      <c r="S456" s="3" t="str">
        <f t="shared" si="7"/>
        <v>Below Target</v>
      </c>
    </row>
    <row r="457" spans="1:19" ht="27.6">
      <c r="A457" t="s">
        <v>633</v>
      </c>
      <c r="B457" s="21">
        <v>45884</v>
      </c>
      <c r="C457" t="s">
        <v>22</v>
      </c>
      <c r="D457" t="s">
        <v>16</v>
      </c>
      <c r="E457" t="s">
        <v>96</v>
      </c>
      <c r="F457" t="s">
        <v>74</v>
      </c>
      <c r="G457" t="s">
        <v>26</v>
      </c>
      <c r="H457" t="s">
        <v>27</v>
      </c>
      <c r="I457">
        <v>12</v>
      </c>
      <c r="J457">
        <v>308.29000000000002</v>
      </c>
      <c r="K457">
        <v>0.03</v>
      </c>
      <c r="L457">
        <v>3588.5</v>
      </c>
      <c r="M457">
        <v>2821.22</v>
      </c>
      <c r="N457">
        <v>3182.3</v>
      </c>
      <c r="O457" s="3">
        <f>_xlfn.XLOOKUP(SalesData[[#This Row],[Product]],ProductLookup[Product],ProductLookup[Standard_Price],"Not Found")</f>
        <v>320</v>
      </c>
      <c r="P457" s="3">
        <f>SalesData[[#This Row],[Revenue]]-SalesData[[#This Row],[Cost]]</f>
        <v>767.2800000000002</v>
      </c>
      <c r="Q457" s="5">
        <f>IFERROR(SalesData[[#This Row],[Profit]]/SalesData[[#This Row],[Revenue]],0)</f>
        <v>0.21381635780966984</v>
      </c>
      <c r="R457" s="3">
        <f>SalesData[[#This Row],[Revenue]]-SalesData[[#This Row],[Target]]</f>
        <v>406.19999999999982</v>
      </c>
      <c r="S457" s="3" t="str">
        <f t="shared" si="7"/>
        <v>Above Target</v>
      </c>
    </row>
    <row r="458" spans="1:19" ht="13.8">
      <c r="A458" t="s">
        <v>634</v>
      </c>
      <c r="B458" s="21">
        <v>45741</v>
      </c>
      <c r="C458" t="s">
        <v>67</v>
      </c>
      <c r="D458" t="s">
        <v>30</v>
      </c>
      <c r="E458" t="s">
        <v>380</v>
      </c>
      <c r="F458" t="s">
        <v>25</v>
      </c>
      <c r="G458" t="s">
        <v>45</v>
      </c>
      <c r="H458" t="s">
        <v>44</v>
      </c>
      <c r="I458">
        <v>11</v>
      </c>
      <c r="J458">
        <v>271.24</v>
      </c>
      <c r="K458">
        <v>0.08</v>
      </c>
      <c r="L458">
        <v>2744.95</v>
      </c>
      <c r="M458">
        <v>2152.3200000000002</v>
      </c>
      <c r="N458">
        <v>3070.57</v>
      </c>
      <c r="O458" s="3">
        <f>_xlfn.XLOOKUP(SalesData[[#This Row],[Product]],ProductLookup[Product],ProductLookup[Standard_Price],"Not Found")</f>
        <v>260</v>
      </c>
      <c r="P458" s="3">
        <f>SalesData[[#This Row],[Revenue]]-SalesData[[#This Row],[Cost]]</f>
        <v>592.62999999999965</v>
      </c>
      <c r="Q458" s="5">
        <f>IFERROR(SalesData[[#This Row],[Profit]]/SalesData[[#This Row],[Revenue]],0)</f>
        <v>0.21589828594327753</v>
      </c>
      <c r="R458" s="3">
        <f>SalesData[[#This Row],[Revenue]]-SalesData[[#This Row],[Target]]</f>
        <v>-325.62000000000035</v>
      </c>
      <c r="S458" s="3" t="str">
        <f t="shared" si="7"/>
        <v>Below Target</v>
      </c>
    </row>
    <row r="459" spans="1:19" ht="27.6">
      <c r="A459" t="s">
        <v>635</v>
      </c>
      <c r="B459" s="21">
        <v>45664</v>
      </c>
      <c r="C459" t="s">
        <v>67</v>
      </c>
      <c r="D459" t="s">
        <v>16</v>
      </c>
      <c r="E459" t="s">
        <v>342</v>
      </c>
      <c r="F459" t="s">
        <v>25</v>
      </c>
      <c r="G459" t="s">
        <v>33</v>
      </c>
      <c r="H459" t="s">
        <v>34</v>
      </c>
      <c r="I459">
        <v>9</v>
      </c>
      <c r="J459">
        <v>33.32</v>
      </c>
      <c r="K459">
        <v>0.02</v>
      </c>
      <c r="L459">
        <v>293.88</v>
      </c>
      <c r="M459">
        <v>211.5</v>
      </c>
      <c r="N459">
        <v>283.77999999999997</v>
      </c>
      <c r="O459" s="3">
        <f>_xlfn.XLOOKUP(SalesData[[#This Row],[Product]],ProductLookup[Product],ProductLookup[Standard_Price],"Not Found")</f>
        <v>35</v>
      </c>
      <c r="P459" s="3">
        <f>SalesData[[#This Row],[Revenue]]-SalesData[[#This Row],[Cost]]</f>
        <v>82.38</v>
      </c>
      <c r="Q459" s="5">
        <f>IFERROR(SalesData[[#This Row],[Profit]]/SalesData[[#This Row],[Revenue]],0)</f>
        <v>0.28031849734585546</v>
      </c>
      <c r="R459" s="3">
        <f>SalesData[[#This Row],[Revenue]]-SalesData[[#This Row],[Target]]</f>
        <v>10.100000000000023</v>
      </c>
      <c r="S459" s="3" t="str">
        <f t="shared" si="7"/>
        <v>Above Target</v>
      </c>
    </row>
    <row r="460" spans="1:19" ht="13.8">
      <c r="A460" t="s">
        <v>636</v>
      </c>
      <c r="B460" s="21">
        <v>45833</v>
      </c>
      <c r="C460" t="s">
        <v>22</v>
      </c>
      <c r="D460" t="s">
        <v>82</v>
      </c>
      <c r="E460" t="s">
        <v>316</v>
      </c>
      <c r="F460" t="s">
        <v>32</v>
      </c>
      <c r="G460" t="s">
        <v>45</v>
      </c>
      <c r="H460" t="s">
        <v>47</v>
      </c>
      <c r="I460">
        <v>2</v>
      </c>
      <c r="J460">
        <v>421.34</v>
      </c>
      <c r="K460">
        <v>0</v>
      </c>
      <c r="L460">
        <v>842.68</v>
      </c>
      <c r="M460">
        <v>512.16999999999996</v>
      </c>
      <c r="N460">
        <v>913.75</v>
      </c>
      <c r="O460" s="3">
        <f>_xlfn.XLOOKUP(SalesData[[#This Row],[Product]],ProductLookup[Product],ProductLookup[Standard_Price],"Not Found")</f>
        <v>420</v>
      </c>
      <c r="P460" s="3">
        <f>SalesData[[#This Row],[Revenue]]-SalesData[[#This Row],[Cost]]</f>
        <v>330.51</v>
      </c>
      <c r="Q460" s="5">
        <f>IFERROR(SalesData[[#This Row],[Profit]]/SalesData[[#This Row],[Revenue]],0)</f>
        <v>0.39221293966867615</v>
      </c>
      <c r="R460" s="3">
        <f>SalesData[[#This Row],[Revenue]]-SalesData[[#This Row],[Target]]</f>
        <v>-71.07000000000005</v>
      </c>
      <c r="S460" s="3" t="str">
        <f t="shared" si="7"/>
        <v>Below Target</v>
      </c>
    </row>
    <row r="461" spans="1:19" ht="27.6">
      <c r="A461" t="s">
        <v>637</v>
      </c>
      <c r="B461" s="21">
        <v>45690</v>
      </c>
      <c r="C461" t="s">
        <v>29</v>
      </c>
      <c r="D461" t="s">
        <v>68</v>
      </c>
      <c r="E461" t="s">
        <v>78</v>
      </c>
      <c r="F461" t="s">
        <v>18</v>
      </c>
      <c r="G461" t="s">
        <v>33</v>
      </c>
      <c r="H461" t="s">
        <v>42</v>
      </c>
      <c r="I461">
        <v>2</v>
      </c>
      <c r="J461">
        <v>62.79</v>
      </c>
      <c r="K461">
        <v>0.02</v>
      </c>
      <c r="L461">
        <v>123.07</v>
      </c>
      <c r="M461">
        <v>79.569999999999993</v>
      </c>
      <c r="N461">
        <v>109.88</v>
      </c>
      <c r="O461" s="3">
        <f>_xlfn.XLOOKUP(SalesData[[#This Row],[Product]],ProductLookup[Product],ProductLookup[Standard_Price],"Not Found")</f>
        <v>60</v>
      </c>
      <c r="P461" s="3">
        <f>SalesData[[#This Row],[Revenue]]-SalesData[[#This Row],[Cost]]</f>
        <v>43.5</v>
      </c>
      <c r="Q461" s="5">
        <f>IFERROR(SalesData[[#This Row],[Profit]]/SalesData[[#This Row],[Revenue]],0)</f>
        <v>0.35345738197773624</v>
      </c>
      <c r="R461" s="3">
        <f>SalesData[[#This Row],[Revenue]]-SalesData[[#This Row],[Target]]</f>
        <v>13.189999999999998</v>
      </c>
      <c r="S461" s="3" t="str">
        <f t="shared" si="7"/>
        <v>Above Target</v>
      </c>
    </row>
    <row r="462" spans="1:19" ht="27.6">
      <c r="A462" t="s">
        <v>638</v>
      </c>
      <c r="B462" s="21">
        <v>45989</v>
      </c>
      <c r="C462" t="s">
        <v>15</v>
      </c>
      <c r="D462" t="s">
        <v>23</v>
      </c>
      <c r="E462" t="s">
        <v>260</v>
      </c>
      <c r="F462" t="s">
        <v>74</v>
      </c>
      <c r="G462" t="s">
        <v>26</v>
      </c>
      <c r="H462" t="s">
        <v>39</v>
      </c>
      <c r="I462">
        <v>4</v>
      </c>
      <c r="J462">
        <v>215.32</v>
      </c>
      <c r="K462">
        <v>0</v>
      </c>
      <c r="L462">
        <v>861.28</v>
      </c>
      <c r="M462">
        <v>652.11</v>
      </c>
      <c r="N462">
        <v>847.1</v>
      </c>
      <c r="O462" s="3">
        <f>_xlfn.XLOOKUP(SalesData[[#This Row],[Product]],ProductLookup[Product],ProductLookup[Standard_Price],"Not Found")</f>
        <v>220</v>
      </c>
      <c r="P462" s="3">
        <f>SalesData[[#This Row],[Revenue]]-SalesData[[#This Row],[Cost]]</f>
        <v>209.16999999999996</v>
      </c>
      <c r="Q462" s="5">
        <f>IFERROR(SalesData[[#This Row],[Profit]]/SalesData[[#This Row],[Revenue]],0)</f>
        <v>0.24285946498235181</v>
      </c>
      <c r="R462" s="3">
        <f>SalesData[[#This Row],[Revenue]]-SalesData[[#This Row],[Target]]</f>
        <v>14.17999999999995</v>
      </c>
      <c r="S462" s="3" t="str">
        <f t="shared" si="7"/>
        <v>Above Target</v>
      </c>
    </row>
    <row r="463" spans="1:19" ht="27.6">
      <c r="A463" t="s">
        <v>639</v>
      </c>
      <c r="B463" s="21">
        <v>45972</v>
      </c>
      <c r="C463" t="s">
        <v>67</v>
      </c>
      <c r="D463" t="s">
        <v>30</v>
      </c>
      <c r="E463" t="s">
        <v>98</v>
      </c>
      <c r="F463" t="s">
        <v>18</v>
      </c>
      <c r="G463" t="s">
        <v>45</v>
      </c>
      <c r="H463" t="s">
        <v>44</v>
      </c>
      <c r="I463">
        <v>3</v>
      </c>
      <c r="J463">
        <v>264.95999999999998</v>
      </c>
      <c r="K463">
        <v>0.1</v>
      </c>
      <c r="L463">
        <v>715.39</v>
      </c>
      <c r="M463">
        <v>473.98</v>
      </c>
      <c r="N463">
        <v>696.66</v>
      </c>
      <c r="O463" s="3">
        <f>_xlfn.XLOOKUP(SalesData[[#This Row],[Product]],ProductLookup[Product],ProductLookup[Standard_Price],"Not Found")</f>
        <v>260</v>
      </c>
      <c r="P463" s="3">
        <f>SalesData[[#This Row],[Revenue]]-SalesData[[#This Row],[Cost]]</f>
        <v>241.40999999999997</v>
      </c>
      <c r="Q463" s="5">
        <f>IFERROR(SalesData[[#This Row],[Profit]]/SalesData[[#This Row],[Revenue]],0)</f>
        <v>0.33745229874613841</v>
      </c>
      <c r="R463" s="3">
        <f>SalesData[[#This Row],[Revenue]]-SalesData[[#This Row],[Target]]</f>
        <v>18.730000000000018</v>
      </c>
      <c r="S463" s="3" t="str">
        <f t="shared" si="7"/>
        <v>Above Target</v>
      </c>
    </row>
    <row r="464" spans="1:19" ht="13.8">
      <c r="A464" t="s">
        <v>640</v>
      </c>
      <c r="B464" s="21">
        <v>46011</v>
      </c>
      <c r="C464" t="s">
        <v>15</v>
      </c>
      <c r="D464" t="s">
        <v>64</v>
      </c>
      <c r="E464" t="s">
        <v>218</v>
      </c>
      <c r="F464" t="s">
        <v>74</v>
      </c>
      <c r="G464" t="s">
        <v>26</v>
      </c>
      <c r="H464" t="s">
        <v>39</v>
      </c>
      <c r="I464">
        <v>11</v>
      </c>
      <c r="J464">
        <v>214.71</v>
      </c>
      <c r="K464">
        <v>0.1</v>
      </c>
      <c r="L464">
        <v>2125.63</v>
      </c>
      <c r="M464">
        <v>1576.21</v>
      </c>
      <c r="N464">
        <v>2172.12</v>
      </c>
      <c r="O464" s="3">
        <f>_xlfn.XLOOKUP(SalesData[[#This Row],[Product]],ProductLookup[Product],ProductLookup[Standard_Price],"Not Found")</f>
        <v>220</v>
      </c>
      <c r="P464" s="3">
        <f>SalesData[[#This Row],[Revenue]]-SalesData[[#This Row],[Cost]]</f>
        <v>549.42000000000007</v>
      </c>
      <c r="Q464" s="5">
        <f>IFERROR(SalesData[[#This Row],[Profit]]/SalesData[[#This Row],[Revenue]],0)</f>
        <v>0.2584739583088308</v>
      </c>
      <c r="R464" s="3">
        <f>SalesData[[#This Row],[Revenue]]-SalesData[[#This Row],[Target]]</f>
        <v>-46.489999999999782</v>
      </c>
      <c r="S464" s="3" t="str">
        <f t="shared" si="7"/>
        <v>Below Target</v>
      </c>
    </row>
    <row r="465" spans="1:19" ht="27.6">
      <c r="A465" t="s">
        <v>641</v>
      </c>
      <c r="B465" s="21">
        <v>45813</v>
      </c>
      <c r="C465" t="s">
        <v>29</v>
      </c>
      <c r="D465" t="s">
        <v>64</v>
      </c>
      <c r="E465" t="s">
        <v>100</v>
      </c>
      <c r="F465" t="s">
        <v>74</v>
      </c>
      <c r="G465" t="s">
        <v>19</v>
      </c>
      <c r="H465" t="s">
        <v>37</v>
      </c>
      <c r="I465">
        <v>2</v>
      </c>
      <c r="J465">
        <v>1125.26</v>
      </c>
      <c r="K465">
        <v>0.08</v>
      </c>
      <c r="L465">
        <v>2070.48</v>
      </c>
      <c r="M465">
        <v>1248.9100000000001</v>
      </c>
      <c r="N465">
        <v>2001.66</v>
      </c>
      <c r="O465" s="3">
        <f>_xlfn.XLOOKUP(SalesData[[#This Row],[Product]],ProductLookup[Product],ProductLookup[Standard_Price],"Not Found")</f>
        <v>1100</v>
      </c>
      <c r="P465" s="3">
        <f>SalesData[[#This Row],[Revenue]]-SalesData[[#This Row],[Cost]]</f>
        <v>821.56999999999994</v>
      </c>
      <c r="Q465" s="5">
        <f>IFERROR(SalesData[[#This Row],[Profit]]/SalesData[[#This Row],[Revenue]],0)</f>
        <v>0.39680170781654495</v>
      </c>
      <c r="R465" s="3">
        <f>SalesData[[#This Row],[Revenue]]-SalesData[[#This Row],[Target]]</f>
        <v>68.819999999999936</v>
      </c>
      <c r="S465" s="3" t="str">
        <f t="shared" si="7"/>
        <v>Above Target</v>
      </c>
    </row>
    <row r="466" spans="1:19" ht="27.6">
      <c r="A466" t="s">
        <v>642</v>
      </c>
      <c r="B466" s="21">
        <v>45989</v>
      </c>
      <c r="C466" t="s">
        <v>67</v>
      </c>
      <c r="D466" t="s">
        <v>68</v>
      </c>
      <c r="E466" t="s">
        <v>226</v>
      </c>
      <c r="F466" t="s">
        <v>25</v>
      </c>
      <c r="G466" t="s">
        <v>33</v>
      </c>
      <c r="H466" t="s">
        <v>42</v>
      </c>
      <c r="I466">
        <v>12</v>
      </c>
      <c r="J466">
        <v>62.27</v>
      </c>
      <c r="K466">
        <v>0.05</v>
      </c>
      <c r="L466">
        <v>709.88</v>
      </c>
      <c r="M466">
        <v>453.71</v>
      </c>
      <c r="N466">
        <v>641.75</v>
      </c>
      <c r="O466" s="3">
        <f>_xlfn.XLOOKUP(SalesData[[#This Row],[Product]],ProductLookup[Product],ProductLookup[Standard_Price],"Not Found")</f>
        <v>60</v>
      </c>
      <c r="P466" s="3">
        <f>SalesData[[#This Row],[Revenue]]-SalesData[[#This Row],[Cost]]</f>
        <v>256.17</v>
      </c>
      <c r="Q466" s="5">
        <f>IFERROR(SalesData[[#This Row],[Profit]]/SalesData[[#This Row],[Revenue]],0)</f>
        <v>0.36086380796754386</v>
      </c>
      <c r="R466" s="3">
        <f>SalesData[[#This Row],[Revenue]]-SalesData[[#This Row],[Target]]</f>
        <v>68.13</v>
      </c>
      <c r="S466" s="3" t="str">
        <f t="shared" si="7"/>
        <v>Above Target</v>
      </c>
    </row>
    <row r="467" spans="1:19" ht="13.8">
      <c r="A467" t="s">
        <v>643</v>
      </c>
      <c r="B467" s="21">
        <v>45885</v>
      </c>
      <c r="C467" t="s">
        <v>15</v>
      </c>
      <c r="D467" t="s">
        <v>68</v>
      </c>
      <c r="E467" t="s">
        <v>102</v>
      </c>
      <c r="F467" t="s">
        <v>25</v>
      </c>
      <c r="G467" t="s">
        <v>45</v>
      </c>
      <c r="H467" t="s">
        <v>46</v>
      </c>
      <c r="I467">
        <v>15</v>
      </c>
      <c r="J467">
        <v>326.22000000000003</v>
      </c>
      <c r="K467">
        <v>0.05</v>
      </c>
      <c r="L467">
        <v>4648.6400000000003</v>
      </c>
      <c r="M467">
        <v>3139.3</v>
      </c>
      <c r="N467">
        <v>5019.3599999999997</v>
      </c>
      <c r="O467" s="3">
        <f>_xlfn.XLOOKUP(SalesData[[#This Row],[Product]],ProductLookup[Product],ProductLookup[Standard_Price],"Not Found")</f>
        <v>340</v>
      </c>
      <c r="P467" s="3">
        <f>SalesData[[#This Row],[Revenue]]-SalesData[[#This Row],[Cost]]</f>
        <v>1509.3400000000001</v>
      </c>
      <c r="Q467" s="5">
        <f>IFERROR(SalesData[[#This Row],[Profit]]/SalesData[[#This Row],[Revenue]],0)</f>
        <v>0.32468420871480691</v>
      </c>
      <c r="R467" s="3">
        <f>SalesData[[#This Row],[Revenue]]-SalesData[[#This Row],[Target]]</f>
        <v>-370.71999999999935</v>
      </c>
      <c r="S467" s="3" t="str">
        <f t="shared" si="7"/>
        <v>Below Target</v>
      </c>
    </row>
    <row r="468" spans="1:19" ht="27.6">
      <c r="A468" t="s">
        <v>644</v>
      </c>
      <c r="B468" s="21">
        <v>45712</v>
      </c>
      <c r="C468" t="s">
        <v>29</v>
      </c>
      <c r="D468" t="s">
        <v>16</v>
      </c>
      <c r="E468" t="s">
        <v>94</v>
      </c>
      <c r="F468" t="s">
        <v>18</v>
      </c>
      <c r="G468" t="s">
        <v>26</v>
      </c>
      <c r="H468" t="s">
        <v>39</v>
      </c>
      <c r="I468">
        <v>13</v>
      </c>
      <c r="J468">
        <v>216.72</v>
      </c>
      <c r="K468">
        <v>0.03</v>
      </c>
      <c r="L468">
        <v>2732.84</v>
      </c>
      <c r="M468">
        <v>1806.63</v>
      </c>
      <c r="N468">
        <v>2411.33</v>
      </c>
      <c r="O468" s="3">
        <f>_xlfn.XLOOKUP(SalesData[[#This Row],[Product]],ProductLookup[Product],ProductLookup[Standard_Price],"Not Found")</f>
        <v>220</v>
      </c>
      <c r="P468" s="3">
        <f>SalesData[[#This Row],[Revenue]]-SalesData[[#This Row],[Cost]]</f>
        <v>926.21</v>
      </c>
      <c r="Q468" s="5">
        <f>IFERROR(SalesData[[#This Row],[Profit]]/SalesData[[#This Row],[Revenue]],0)</f>
        <v>0.33891848772705319</v>
      </c>
      <c r="R468" s="3">
        <f>SalesData[[#This Row],[Revenue]]-SalesData[[#This Row],[Target]]</f>
        <v>321.51000000000022</v>
      </c>
      <c r="S468" s="3" t="str">
        <f t="shared" si="7"/>
        <v>Above Target</v>
      </c>
    </row>
    <row r="469" spans="1:19" ht="27.6">
      <c r="A469" t="s">
        <v>645</v>
      </c>
      <c r="B469" s="21">
        <v>45738</v>
      </c>
      <c r="C469" t="s">
        <v>29</v>
      </c>
      <c r="D469" t="s">
        <v>68</v>
      </c>
      <c r="E469" t="s">
        <v>71</v>
      </c>
      <c r="F469" t="s">
        <v>18</v>
      </c>
      <c r="G469" t="s">
        <v>45</v>
      </c>
      <c r="H469" t="s">
        <v>47</v>
      </c>
      <c r="I469">
        <v>11</v>
      </c>
      <c r="J469">
        <v>426.79</v>
      </c>
      <c r="K469">
        <v>0.03</v>
      </c>
      <c r="L469">
        <v>4553.8500000000004</v>
      </c>
      <c r="M469">
        <v>3394.75</v>
      </c>
      <c r="N469">
        <v>4204.78</v>
      </c>
      <c r="O469" s="3">
        <f>_xlfn.XLOOKUP(SalesData[[#This Row],[Product]],ProductLookup[Product],ProductLookup[Standard_Price],"Not Found")</f>
        <v>420</v>
      </c>
      <c r="P469" s="3">
        <f>SalesData[[#This Row],[Revenue]]-SalesData[[#This Row],[Cost]]</f>
        <v>1159.1000000000004</v>
      </c>
      <c r="Q469" s="5">
        <f>IFERROR(SalesData[[#This Row],[Profit]]/SalesData[[#This Row],[Revenue]],0)</f>
        <v>0.254531879618345</v>
      </c>
      <c r="R469" s="3">
        <f>SalesData[[#This Row],[Revenue]]-SalesData[[#This Row],[Target]]</f>
        <v>349.07000000000062</v>
      </c>
      <c r="S469" s="3" t="str">
        <f t="shared" si="7"/>
        <v>Above Target</v>
      </c>
    </row>
    <row r="470" spans="1:19" ht="27.6">
      <c r="A470" t="s">
        <v>646</v>
      </c>
      <c r="B470" s="21">
        <v>45854</v>
      </c>
      <c r="C470" t="s">
        <v>15</v>
      </c>
      <c r="D470" t="s">
        <v>30</v>
      </c>
      <c r="E470" t="s">
        <v>307</v>
      </c>
      <c r="F470" t="s">
        <v>25</v>
      </c>
      <c r="G470" t="s">
        <v>26</v>
      </c>
      <c r="H470" t="s">
        <v>27</v>
      </c>
      <c r="I470">
        <v>11</v>
      </c>
      <c r="J470">
        <v>306.85000000000002</v>
      </c>
      <c r="K470">
        <v>0.08</v>
      </c>
      <c r="L470">
        <v>3105.32</v>
      </c>
      <c r="M470">
        <v>2015.72</v>
      </c>
      <c r="N470">
        <v>2780.97</v>
      </c>
      <c r="O470" s="3">
        <f>_xlfn.XLOOKUP(SalesData[[#This Row],[Product]],ProductLookup[Product],ProductLookup[Standard_Price],"Not Found")</f>
        <v>320</v>
      </c>
      <c r="P470" s="3">
        <f>SalesData[[#This Row],[Revenue]]-SalesData[[#This Row],[Cost]]</f>
        <v>1089.6000000000001</v>
      </c>
      <c r="Q470" s="5">
        <f>IFERROR(SalesData[[#This Row],[Profit]]/SalesData[[#This Row],[Revenue]],0)</f>
        <v>0.35088171267373414</v>
      </c>
      <c r="R470" s="3">
        <f>SalesData[[#This Row],[Revenue]]-SalesData[[#This Row],[Target]]</f>
        <v>324.35000000000036</v>
      </c>
      <c r="S470" s="3" t="str">
        <f t="shared" si="7"/>
        <v>Above Target</v>
      </c>
    </row>
    <row r="471" spans="1:19" ht="13.8">
      <c r="A471" t="s">
        <v>647</v>
      </c>
      <c r="B471" s="21">
        <v>45839</v>
      </c>
      <c r="C471" t="s">
        <v>67</v>
      </c>
      <c r="D471" t="s">
        <v>30</v>
      </c>
      <c r="E471" t="s">
        <v>430</v>
      </c>
      <c r="F471" t="s">
        <v>18</v>
      </c>
      <c r="G471" t="s">
        <v>26</v>
      </c>
      <c r="H471" t="s">
        <v>40</v>
      </c>
      <c r="I471">
        <v>9</v>
      </c>
      <c r="J471">
        <v>460.02</v>
      </c>
      <c r="K471">
        <v>0.02</v>
      </c>
      <c r="L471">
        <v>4057.38</v>
      </c>
      <c r="M471">
        <v>2764.14</v>
      </c>
      <c r="N471">
        <v>4288.34</v>
      </c>
      <c r="O471" s="3">
        <f>_xlfn.XLOOKUP(SalesData[[#This Row],[Product]],ProductLookup[Product],ProductLookup[Standard_Price],"Not Found")</f>
        <v>450</v>
      </c>
      <c r="P471" s="3">
        <f>SalesData[[#This Row],[Revenue]]-SalesData[[#This Row],[Cost]]</f>
        <v>1293.2400000000002</v>
      </c>
      <c r="Q471" s="5">
        <f>IFERROR(SalesData[[#This Row],[Profit]]/SalesData[[#This Row],[Revenue]],0)</f>
        <v>0.31873770758469755</v>
      </c>
      <c r="R471" s="3">
        <f>SalesData[[#This Row],[Revenue]]-SalesData[[#This Row],[Target]]</f>
        <v>-230.96000000000004</v>
      </c>
      <c r="S471" s="3" t="str">
        <f t="shared" si="7"/>
        <v>Below Target</v>
      </c>
    </row>
    <row r="472" spans="1:19" ht="27.6">
      <c r="A472" t="s">
        <v>648</v>
      </c>
      <c r="B472" s="21">
        <v>45785</v>
      </c>
      <c r="C472" t="s">
        <v>29</v>
      </c>
      <c r="D472" t="s">
        <v>23</v>
      </c>
      <c r="E472" t="s">
        <v>289</v>
      </c>
      <c r="F472" t="s">
        <v>74</v>
      </c>
      <c r="G472" t="s">
        <v>45</v>
      </c>
      <c r="H472" t="s">
        <v>47</v>
      </c>
      <c r="I472">
        <v>3</v>
      </c>
      <c r="J472">
        <v>410.98</v>
      </c>
      <c r="K472">
        <v>0.05</v>
      </c>
      <c r="L472">
        <v>1171.29</v>
      </c>
      <c r="M472">
        <v>943</v>
      </c>
      <c r="N472">
        <v>1039.19</v>
      </c>
      <c r="O472" s="3">
        <f>_xlfn.XLOOKUP(SalesData[[#This Row],[Product]],ProductLookup[Product],ProductLookup[Standard_Price],"Not Found")</f>
        <v>420</v>
      </c>
      <c r="P472" s="3">
        <f>SalesData[[#This Row],[Revenue]]-SalesData[[#This Row],[Cost]]</f>
        <v>228.28999999999996</v>
      </c>
      <c r="Q472" s="5">
        <f>IFERROR(SalesData[[#This Row],[Profit]]/SalesData[[#This Row],[Revenue]],0)</f>
        <v>0.19490476312441835</v>
      </c>
      <c r="R472" s="3">
        <f>SalesData[[#This Row],[Revenue]]-SalesData[[#This Row],[Target]]</f>
        <v>132.09999999999991</v>
      </c>
      <c r="S472" s="3" t="str">
        <f t="shared" si="7"/>
        <v>Above Target</v>
      </c>
    </row>
    <row r="473" spans="1:19" ht="27.6">
      <c r="A473" t="s">
        <v>649</v>
      </c>
      <c r="B473" s="21">
        <v>45845</v>
      </c>
      <c r="C473" t="s">
        <v>22</v>
      </c>
      <c r="D473" t="s">
        <v>30</v>
      </c>
      <c r="E473" t="s">
        <v>256</v>
      </c>
      <c r="F473" t="s">
        <v>32</v>
      </c>
      <c r="G473" t="s">
        <v>26</v>
      </c>
      <c r="H473" t="s">
        <v>39</v>
      </c>
      <c r="I473">
        <v>11</v>
      </c>
      <c r="J473">
        <v>228.64</v>
      </c>
      <c r="K473">
        <v>0.03</v>
      </c>
      <c r="L473">
        <v>2439.59</v>
      </c>
      <c r="M473">
        <v>1930.51</v>
      </c>
      <c r="N473">
        <v>2176.4499999999998</v>
      </c>
      <c r="O473" s="3">
        <f>_xlfn.XLOOKUP(SalesData[[#This Row],[Product]],ProductLookup[Product],ProductLookup[Standard_Price],"Not Found")</f>
        <v>220</v>
      </c>
      <c r="P473" s="3">
        <f>SalesData[[#This Row],[Revenue]]-SalesData[[#This Row],[Cost]]</f>
        <v>509.08000000000015</v>
      </c>
      <c r="Q473" s="5">
        <f>IFERROR(SalesData[[#This Row],[Profit]]/SalesData[[#This Row],[Revenue]],0)</f>
        <v>0.20867440840469101</v>
      </c>
      <c r="R473" s="3">
        <f>SalesData[[#This Row],[Revenue]]-SalesData[[#This Row],[Target]]</f>
        <v>263.14000000000033</v>
      </c>
      <c r="S473" s="3" t="str">
        <f t="shared" si="7"/>
        <v>Above Target</v>
      </c>
    </row>
    <row r="474" spans="1:19" ht="13.8">
      <c r="A474" t="s">
        <v>650</v>
      </c>
      <c r="B474" s="21">
        <v>45673</v>
      </c>
      <c r="C474" t="s">
        <v>15</v>
      </c>
      <c r="D474" t="s">
        <v>68</v>
      </c>
      <c r="E474" t="s">
        <v>330</v>
      </c>
      <c r="F474" t="s">
        <v>74</v>
      </c>
      <c r="G474" t="s">
        <v>33</v>
      </c>
      <c r="H474" t="s">
        <v>41</v>
      </c>
      <c r="I474">
        <v>8</v>
      </c>
      <c r="J474">
        <v>84.89</v>
      </c>
      <c r="K474">
        <v>0</v>
      </c>
      <c r="L474">
        <v>679.12</v>
      </c>
      <c r="M474">
        <v>476.19</v>
      </c>
      <c r="N474">
        <v>713.6</v>
      </c>
      <c r="O474" s="3">
        <f>_xlfn.XLOOKUP(SalesData[[#This Row],[Product]],ProductLookup[Product],ProductLookup[Standard_Price],"Not Found")</f>
        <v>85</v>
      </c>
      <c r="P474" s="3">
        <f>SalesData[[#This Row],[Revenue]]-SalesData[[#This Row],[Cost]]</f>
        <v>202.93</v>
      </c>
      <c r="Q474" s="5">
        <f>IFERROR(SalesData[[#This Row],[Profit]]/SalesData[[#This Row],[Revenue]],0)</f>
        <v>0.2988131699846861</v>
      </c>
      <c r="R474" s="3">
        <f>SalesData[[#This Row],[Revenue]]-SalesData[[#This Row],[Target]]</f>
        <v>-34.480000000000018</v>
      </c>
      <c r="S474" s="3" t="str">
        <f t="shared" si="7"/>
        <v>Below Target</v>
      </c>
    </row>
    <row r="475" spans="1:19" ht="27.6">
      <c r="A475" t="s">
        <v>651</v>
      </c>
      <c r="B475" s="21">
        <v>45903</v>
      </c>
      <c r="C475" t="s">
        <v>67</v>
      </c>
      <c r="D475" t="s">
        <v>30</v>
      </c>
      <c r="E475" t="s">
        <v>213</v>
      </c>
      <c r="F475" t="s">
        <v>74</v>
      </c>
      <c r="G475" t="s">
        <v>19</v>
      </c>
      <c r="H475" t="s">
        <v>38</v>
      </c>
      <c r="I475">
        <v>15</v>
      </c>
      <c r="J475">
        <v>924.42</v>
      </c>
      <c r="K475">
        <v>0.05</v>
      </c>
      <c r="L475">
        <v>13172.98</v>
      </c>
      <c r="M475">
        <v>8079.74</v>
      </c>
      <c r="N475">
        <v>12195.41</v>
      </c>
      <c r="O475" s="3">
        <f>_xlfn.XLOOKUP(SalesData[[#This Row],[Product]],ProductLookup[Product],ProductLookup[Standard_Price],"Not Found")</f>
        <v>950</v>
      </c>
      <c r="P475" s="3">
        <f>SalesData[[#This Row],[Revenue]]-SalesData[[#This Row],[Cost]]</f>
        <v>5093.24</v>
      </c>
      <c r="Q475" s="5">
        <f>IFERROR(SalesData[[#This Row],[Profit]]/SalesData[[#This Row],[Revenue]],0)</f>
        <v>0.38664296157741074</v>
      </c>
      <c r="R475" s="3">
        <f>SalesData[[#This Row],[Revenue]]-SalesData[[#This Row],[Target]]</f>
        <v>977.56999999999971</v>
      </c>
      <c r="S475" s="3" t="str">
        <f t="shared" si="7"/>
        <v>Above Target</v>
      </c>
    </row>
    <row r="476" spans="1:19" ht="13.8">
      <c r="A476" t="s">
        <v>652</v>
      </c>
      <c r="B476" s="21">
        <v>45780</v>
      </c>
      <c r="C476" t="s">
        <v>22</v>
      </c>
      <c r="D476" t="s">
        <v>16</v>
      </c>
      <c r="E476" t="s">
        <v>277</v>
      </c>
      <c r="F476" t="s">
        <v>74</v>
      </c>
      <c r="G476" t="s">
        <v>26</v>
      </c>
      <c r="H476" t="s">
        <v>40</v>
      </c>
      <c r="I476">
        <v>9</v>
      </c>
      <c r="J476">
        <v>430.08</v>
      </c>
      <c r="K476">
        <v>0.08</v>
      </c>
      <c r="L476">
        <v>3561.06</v>
      </c>
      <c r="M476">
        <v>2310.88</v>
      </c>
      <c r="N476">
        <v>3769.79</v>
      </c>
      <c r="O476" s="3">
        <f>_xlfn.XLOOKUP(SalesData[[#This Row],[Product]],ProductLookup[Product],ProductLookup[Standard_Price],"Not Found")</f>
        <v>450</v>
      </c>
      <c r="P476" s="3">
        <f>SalesData[[#This Row],[Revenue]]-SalesData[[#This Row],[Cost]]</f>
        <v>1250.1799999999998</v>
      </c>
      <c r="Q476" s="5">
        <f>IFERROR(SalesData[[#This Row],[Profit]]/SalesData[[#This Row],[Revenue]],0)</f>
        <v>0.35106962533627623</v>
      </c>
      <c r="R476" s="3">
        <f>SalesData[[#This Row],[Revenue]]-SalesData[[#This Row],[Target]]</f>
        <v>-208.73000000000002</v>
      </c>
      <c r="S476" s="3" t="str">
        <f t="shared" si="7"/>
        <v>Below Target</v>
      </c>
    </row>
    <row r="477" spans="1:19" ht="27.6">
      <c r="A477" t="s">
        <v>653</v>
      </c>
      <c r="B477" s="21">
        <v>45926</v>
      </c>
      <c r="C477" t="s">
        <v>15</v>
      </c>
      <c r="D477" t="s">
        <v>68</v>
      </c>
      <c r="E477" t="s">
        <v>228</v>
      </c>
      <c r="F477" t="s">
        <v>74</v>
      </c>
      <c r="G477" t="s">
        <v>19</v>
      </c>
      <c r="H477" t="s">
        <v>20</v>
      </c>
      <c r="I477">
        <v>4</v>
      </c>
      <c r="J477">
        <v>851.83</v>
      </c>
      <c r="K477">
        <v>0.08</v>
      </c>
      <c r="L477">
        <v>3134.73</v>
      </c>
      <c r="M477">
        <v>2477.15</v>
      </c>
      <c r="N477">
        <v>2918.35</v>
      </c>
      <c r="O477" s="3">
        <f>_xlfn.XLOOKUP(SalesData[[#This Row],[Product]],ProductLookup[Product],ProductLookup[Standard_Price],"Not Found")</f>
        <v>850</v>
      </c>
      <c r="P477" s="3">
        <f>SalesData[[#This Row],[Revenue]]-SalesData[[#This Row],[Cost]]</f>
        <v>657.57999999999993</v>
      </c>
      <c r="Q477" s="5">
        <f>IFERROR(SalesData[[#This Row],[Profit]]/SalesData[[#This Row],[Revenue]],0)</f>
        <v>0.20977245249192114</v>
      </c>
      <c r="R477" s="3">
        <f>SalesData[[#This Row],[Revenue]]-SalesData[[#This Row],[Target]]</f>
        <v>216.38000000000011</v>
      </c>
      <c r="S477" s="3" t="str">
        <f t="shared" si="7"/>
        <v>Above Target</v>
      </c>
    </row>
    <row r="478" spans="1:19" ht="27.6">
      <c r="A478" t="s">
        <v>654</v>
      </c>
      <c r="B478" s="21">
        <v>45893</v>
      </c>
      <c r="C478" t="s">
        <v>67</v>
      </c>
      <c r="D478" t="s">
        <v>82</v>
      </c>
      <c r="E478" t="s">
        <v>108</v>
      </c>
      <c r="F478" t="s">
        <v>32</v>
      </c>
      <c r="G478" t="s">
        <v>45</v>
      </c>
      <c r="H478" t="s">
        <v>47</v>
      </c>
      <c r="I478">
        <v>12</v>
      </c>
      <c r="J478">
        <v>404.53</v>
      </c>
      <c r="K478">
        <v>0.05</v>
      </c>
      <c r="L478">
        <v>4611.6400000000003</v>
      </c>
      <c r="M478">
        <v>3407.17</v>
      </c>
      <c r="N478">
        <v>4166.63</v>
      </c>
      <c r="O478" s="3">
        <f>_xlfn.XLOOKUP(SalesData[[#This Row],[Product]],ProductLookup[Product],ProductLookup[Standard_Price],"Not Found")</f>
        <v>420</v>
      </c>
      <c r="P478" s="3">
        <f>SalesData[[#This Row],[Revenue]]-SalesData[[#This Row],[Cost]]</f>
        <v>1204.4700000000003</v>
      </c>
      <c r="Q478" s="5">
        <f>IFERROR(SalesData[[#This Row],[Profit]]/SalesData[[#This Row],[Revenue]],0)</f>
        <v>0.26118040436807732</v>
      </c>
      <c r="R478" s="3">
        <f>SalesData[[#This Row],[Revenue]]-SalesData[[#This Row],[Target]]</f>
        <v>445.01000000000022</v>
      </c>
      <c r="S478" s="3" t="str">
        <f t="shared" si="7"/>
        <v>Above Target</v>
      </c>
    </row>
    <row r="479" spans="1:19" ht="13.8">
      <c r="A479" t="s">
        <v>655</v>
      </c>
      <c r="B479" s="21">
        <v>45692</v>
      </c>
      <c r="C479" t="s">
        <v>15</v>
      </c>
      <c r="D479" t="s">
        <v>82</v>
      </c>
      <c r="E479" t="s">
        <v>656</v>
      </c>
      <c r="F479" t="s">
        <v>18</v>
      </c>
      <c r="G479" t="s">
        <v>19</v>
      </c>
      <c r="H479" t="s">
        <v>37</v>
      </c>
      <c r="I479">
        <v>12</v>
      </c>
      <c r="J479">
        <v>1153.26</v>
      </c>
      <c r="K479">
        <v>0.05</v>
      </c>
      <c r="L479">
        <v>13147.16</v>
      </c>
      <c r="M479">
        <v>8632.56</v>
      </c>
      <c r="N479">
        <v>13177.25</v>
      </c>
      <c r="O479" s="3">
        <f>_xlfn.XLOOKUP(SalesData[[#This Row],[Product]],ProductLookup[Product],ProductLookup[Standard_Price],"Not Found")</f>
        <v>1100</v>
      </c>
      <c r="P479" s="3">
        <f>SalesData[[#This Row],[Revenue]]-SalesData[[#This Row],[Cost]]</f>
        <v>4514.6000000000004</v>
      </c>
      <c r="Q479" s="5">
        <f>IFERROR(SalesData[[#This Row],[Profit]]/SalesData[[#This Row],[Revenue]],0)</f>
        <v>0.34338975109453301</v>
      </c>
      <c r="R479" s="3">
        <f>SalesData[[#This Row],[Revenue]]-SalesData[[#This Row],[Target]]</f>
        <v>-30.090000000000146</v>
      </c>
      <c r="S479" s="3" t="str">
        <f t="shared" si="7"/>
        <v>Below Target</v>
      </c>
    </row>
    <row r="480" spans="1:19" ht="13.8">
      <c r="A480" t="s">
        <v>657</v>
      </c>
      <c r="B480" s="21">
        <v>45933</v>
      </c>
      <c r="C480" t="s">
        <v>29</v>
      </c>
      <c r="D480" t="s">
        <v>68</v>
      </c>
      <c r="E480" t="s">
        <v>380</v>
      </c>
      <c r="F480" t="s">
        <v>32</v>
      </c>
      <c r="G480" t="s">
        <v>45</v>
      </c>
      <c r="H480" t="s">
        <v>44</v>
      </c>
      <c r="I480">
        <v>4</v>
      </c>
      <c r="J480">
        <v>267.08999999999997</v>
      </c>
      <c r="K480">
        <v>0.1</v>
      </c>
      <c r="L480">
        <v>961.52</v>
      </c>
      <c r="M480">
        <v>704.88</v>
      </c>
      <c r="N480">
        <v>996.4</v>
      </c>
      <c r="O480" s="3">
        <f>_xlfn.XLOOKUP(SalesData[[#This Row],[Product]],ProductLookup[Product],ProductLookup[Standard_Price],"Not Found")</f>
        <v>260</v>
      </c>
      <c r="P480" s="3">
        <f>SalesData[[#This Row],[Revenue]]-SalesData[[#This Row],[Cost]]</f>
        <v>256.64</v>
      </c>
      <c r="Q480" s="5">
        <f>IFERROR(SalesData[[#This Row],[Profit]]/SalesData[[#This Row],[Revenue]],0)</f>
        <v>0.26691072468591398</v>
      </c>
      <c r="R480" s="3">
        <f>SalesData[[#This Row],[Revenue]]-SalesData[[#This Row],[Target]]</f>
        <v>-34.879999999999995</v>
      </c>
      <c r="S480" s="3" t="str">
        <f t="shared" si="7"/>
        <v>Below Target</v>
      </c>
    </row>
    <row r="481" spans="1:19" ht="27.6">
      <c r="A481" t="s">
        <v>658</v>
      </c>
      <c r="B481" s="21">
        <v>45679</v>
      </c>
      <c r="C481" t="s">
        <v>22</v>
      </c>
      <c r="D481" t="s">
        <v>82</v>
      </c>
      <c r="E481" t="s">
        <v>91</v>
      </c>
      <c r="F481" t="s">
        <v>74</v>
      </c>
      <c r="G481" t="s">
        <v>26</v>
      </c>
      <c r="H481" t="s">
        <v>40</v>
      </c>
      <c r="I481">
        <v>11</v>
      </c>
      <c r="J481">
        <v>468.12</v>
      </c>
      <c r="K481">
        <v>0.02</v>
      </c>
      <c r="L481">
        <v>5046.33</v>
      </c>
      <c r="M481">
        <v>3804.67</v>
      </c>
      <c r="N481">
        <v>4459.7299999999996</v>
      </c>
      <c r="O481" s="3">
        <f>_xlfn.XLOOKUP(SalesData[[#This Row],[Product]],ProductLookup[Product],ProductLookup[Standard_Price],"Not Found")</f>
        <v>450</v>
      </c>
      <c r="P481" s="3">
        <f>SalesData[[#This Row],[Revenue]]-SalesData[[#This Row],[Cost]]</f>
        <v>1241.6599999999999</v>
      </c>
      <c r="Q481" s="5">
        <f>IFERROR(SalesData[[#This Row],[Profit]]/SalesData[[#This Row],[Revenue]],0)</f>
        <v>0.24605208141362137</v>
      </c>
      <c r="R481" s="3">
        <f>SalesData[[#This Row],[Revenue]]-SalesData[[#This Row],[Target]]</f>
        <v>586.60000000000036</v>
      </c>
      <c r="S481" s="3" t="str">
        <f t="shared" si="7"/>
        <v>Above Target</v>
      </c>
    </row>
    <row r="482" spans="1:19" ht="27.6">
      <c r="A482" t="s">
        <v>659</v>
      </c>
      <c r="B482" s="21">
        <v>45769</v>
      </c>
      <c r="C482" t="s">
        <v>67</v>
      </c>
      <c r="D482" t="s">
        <v>64</v>
      </c>
      <c r="E482" t="s">
        <v>207</v>
      </c>
      <c r="F482" t="s">
        <v>18</v>
      </c>
      <c r="G482" t="s">
        <v>19</v>
      </c>
      <c r="H482" t="s">
        <v>20</v>
      </c>
      <c r="I482">
        <v>5</v>
      </c>
      <c r="J482">
        <v>844.82</v>
      </c>
      <c r="K482">
        <v>0.02</v>
      </c>
      <c r="L482">
        <v>4139.62</v>
      </c>
      <c r="M482">
        <v>3248.1</v>
      </c>
      <c r="N482">
        <v>3945.33</v>
      </c>
      <c r="O482" s="3">
        <f>_xlfn.XLOOKUP(SalesData[[#This Row],[Product]],ProductLookup[Product],ProductLookup[Standard_Price],"Not Found")</f>
        <v>850</v>
      </c>
      <c r="P482" s="3">
        <f>SalesData[[#This Row],[Revenue]]-SalesData[[#This Row],[Cost]]</f>
        <v>891.52</v>
      </c>
      <c r="Q482" s="5">
        <f>IFERROR(SalesData[[#This Row],[Profit]]/SalesData[[#This Row],[Revenue]],0)</f>
        <v>0.21536276276566449</v>
      </c>
      <c r="R482" s="3">
        <f>SalesData[[#This Row],[Revenue]]-SalesData[[#This Row],[Target]]</f>
        <v>194.28999999999996</v>
      </c>
      <c r="S482" s="3" t="str">
        <f t="shared" si="7"/>
        <v>Above Target</v>
      </c>
    </row>
    <row r="483" spans="1:19" ht="27.6">
      <c r="A483" t="s">
        <v>660</v>
      </c>
      <c r="B483" s="21">
        <v>45863</v>
      </c>
      <c r="C483" t="s">
        <v>22</v>
      </c>
      <c r="D483" t="s">
        <v>30</v>
      </c>
      <c r="E483" t="s">
        <v>336</v>
      </c>
      <c r="F483" t="s">
        <v>74</v>
      </c>
      <c r="G483" t="s">
        <v>19</v>
      </c>
      <c r="H483" t="s">
        <v>20</v>
      </c>
      <c r="I483">
        <v>11</v>
      </c>
      <c r="J483">
        <v>821.54</v>
      </c>
      <c r="K483">
        <v>0.03</v>
      </c>
      <c r="L483">
        <v>8765.83</v>
      </c>
      <c r="M483">
        <v>7088.46</v>
      </c>
      <c r="N483">
        <v>8204.33</v>
      </c>
      <c r="O483" s="3">
        <f>_xlfn.XLOOKUP(SalesData[[#This Row],[Product]],ProductLookup[Product],ProductLookup[Standard_Price],"Not Found")</f>
        <v>850</v>
      </c>
      <c r="P483" s="3">
        <f>SalesData[[#This Row],[Revenue]]-SalesData[[#This Row],[Cost]]</f>
        <v>1677.37</v>
      </c>
      <c r="Q483" s="5">
        <f>IFERROR(SalesData[[#This Row],[Profit]]/SalesData[[#This Row],[Revenue]],0)</f>
        <v>0.1913532432182691</v>
      </c>
      <c r="R483" s="3">
        <f>SalesData[[#This Row],[Revenue]]-SalesData[[#This Row],[Target]]</f>
        <v>561.5</v>
      </c>
      <c r="S483" s="3" t="str">
        <f t="shared" si="7"/>
        <v>Above Target</v>
      </c>
    </row>
    <row r="484" spans="1:19" ht="27.6">
      <c r="A484" t="s">
        <v>661</v>
      </c>
      <c r="B484" s="21">
        <v>46002</v>
      </c>
      <c r="C484" t="s">
        <v>22</v>
      </c>
      <c r="D484" t="s">
        <v>30</v>
      </c>
      <c r="E484" t="s">
        <v>106</v>
      </c>
      <c r="F484" t="s">
        <v>32</v>
      </c>
      <c r="G484" t="s">
        <v>26</v>
      </c>
      <c r="H484" t="s">
        <v>39</v>
      </c>
      <c r="I484">
        <v>10</v>
      </c>
      <c r="J484">
        <v>228.93</v>
      </c>
      <c r="K484">
        <v>0.02</v>
      </c>
      <c r="L484">
        <v>2243.5100000000002</v>
      </c>
      <c r="M484">
        <v>1757.71</v>
      </c>
      <c r="N484">
        <v>2083</v>
      </c>
      <c r="O484" s="3">
        <f>_xlfn.XLOOKUP(SalesData[[#This Row],[Product]],ProductLookup[Product],ProductLookup[Standard_Price],"Not Found")</f>
        <v>220</v>
      </c>
      <c r="P484" s="3">
        <f>SalesData[[#This Row],[Revenue]]-SalesData[[#This Row],[Cost]]</f>
        <v>485.80000000000018</v>
      </c>
      <c r="Q484" s="5">
        <f>IFERROR(SalesData[[#This Row],[Profit]]/SalesData[[#This Row],[Revenue]],0)</f>
        <v>0.21653569629731989</v>
      </c>
      <c r="R484" s="3">
        <f>SalesData[[#This Row],[Revenue]]-SalesData[[#This Row],[Target]]</f>
        <v>160.51000000000022</v>
      </c>
      <c r="S484" s="3" t="str">
        <f t="shared" si="7"/>
        <v>Above Target</v>
      </c>
    </row>
    <row r="485" spans="1:19" ht="13.8">
      <c r="A485" t="s">
        <v>662</v>
      </c>
      <c r="B485" s="21">
        <v>45674</v>
      </c>
      <c r="C485" t="s">
        <v>29</v>
      </c>
      <c r="D485" t="s">
        <v>23</v>
      </c>
      <c r="E485" t="s">
        <v>221</v>
      </c>
      <c r="F485" t="s">
        <v>18</v>
      </c>
      <c r="G485" t="s">
        <v>33</v>
      </c>
      <c r="H485" t="s">
        <v>34</v>
      </c>
      <c r="I485">
        <v>3</v>
      </c>
      <c r="J485">
        <v>34.450000000000003</v>
      </c>
      <c r="K485">
        <v>0.1</v>
      </c>
      <c r="L485">
        <v>93.02</v>
      </c>
      <c r="M485">
        <v>70.319999999999993</v>
      </c>
      <c r="N485">
        <v>94.55</v>
      </c>
      <c r="O485" s="3">
        <f>_xlfn.XLOOKUP(SalesData[[#This Row],[Product]],ProductLookup[Product],ProductLookup[Standard_Price],"Not Found")</f>
        <v>35</v>
      </c>
      <c r="P485" s="3">
        <f>SalesData[[#This Row],[Revenue]]-SalesData[[#This Row],[Cost]]</f>
        <v>22.700000000000003</v>
      </c>
      <c r="Q485" s="5">
        <f>IFERROR(SalesData[[#This Row],[Profit]]/SalesData[[#This Row],[Revenue]],0)</f>
        <v>0.24403354117394113</v>
      </c>
      <c r="R485" s="3">
        <f>SalesData[[#This Row],[Revenue]]-SalesData[[#This Row],[Target]]</f>
        <v>-1.5300000000000011</v>
      </c>
      <c r="S485" s="3" t="str">
        <f t="shared" si="7"/>
        <v>Below Target</v>
      </c>
    </row>
    <row r="486" spans="1:19" ht="13.8">
      <c r="A486" t="s">
        <v>663</v>
      </c>
      <c r="B486" s="21">
        <v>45737</v>
      </c>
      <c r="C486" t="s">
        <v>22</v>
      </c>
      <c r="D486" t="s">
        <v>23</v>
      </c>
      <c r="E486" t="s">
        <v>228</v>
      </c>
      <c r="F486" t="s">
        <v>25</v>
      </c>
      <c r="G486" t="s">
        <v>33</v>
      </c>
      <c r="H486" t="s">
        <v>43</v>
      </c>
      <c r="I486">
        <v>13</v>
      </c>
      <c r="J486">
        <v>73.180000000000007</v>
      </c>
      <c r="K486">
        <v>0.05</v>
      </c>
      <c r="L486">
        <v>903.77</v>
      </c>
      <c r="M486">
        <v>636.72</v>
      </c>
      <c r="N486">
        <v>914.15</v>
      </c>
      <c r="O486" s="3">
        <f>_xlfn.XLOOKUP(SalesData[[#This Row],[Product]],ProductLookup[Product],ProductLookup[Standard_Price],"Not Found")</f>
        <v>75</v>
      </c>
      <c r="P486" s="3">
        <f>SalesData[[#This Row],[Revenue]]-SalesData[[#This Row],[Cost]]</f>
        <v>267.04999999999995</v>
      </c>
      <c r="Q486" s="5">
        <f>IFERROR(SalesData[[#This Row],[Profit]]/SalesData[[#This Row],[Revenue]],0)</f>
        <v>0.29548447060645955</v>
      </c>
      <c r="R486" s="3">
        <f>SalesData[[#This Row],[Revenue]]-SalesData[[#This Row],[Target]]</f>
        <v>-10.379999999999995</v>
      </c>
      <c r="S486" s="3" t="str">
        <f t="shared" si="7"/>
        <v>Below Target</v>
      </c>
    </row>
    <row r="487" spans="1:19" ht="13.8">
      <c r="A487" t="s">
        <v>664</v>
      </c>
      <c r="B487" s="21">
        <v>45945</v>
      </c>
      <c r="C487" t="s">
        <v>29</v>
      </c>
      <c r="D487" t="s">
        <v>64</v>
      </c>
      <c r="E487" t="s">
        <v>120</v>
      </c>
      <c r="F487" t="s">
        <v>18</v>
      </c>
      <c r="G487" t="s">
        <v>19</v>
      </c>
      <c r="H487" t="s">
        <v>37</v>
      </c>
      <c r="I487">
        <v>5</v>
      </c>
      <c r="J487">
        <v>1150.6300000000001</v>
      </c>
      <c r="K487">
        <v>0.02</v>
      </c>
      <c r="L487">
        <v>5638.09</v>
      </c>
      <c r="M487">
        <v>4512.0600000000004</v>
      </c>
      <c r="N487">
        <v>6312.6</v>
      </c>
      <c r="O487" s="3">
        <f>_xlfn.XLOOKUP(SalesData[[#This Row],[Product]],ProductLookup[Product],ProductLookup[Standard_Price],"Not Found")</f>
        <v>1100</v>
      </c>
      <c r="P487" s="3">
        <f>SalesData[[#This Row],[Revenue]]-SalesData[[#This Row],[Cost]]</f>
        <v>1126.0299999999997</v>
      </c>
      <c r="Q487" s="5">
        <f>IFERROR(SalesData[[#This Row],[Profit]]/SalesData[[#This Row],[Revenue]],0)</f>
        <v>0.19971834433292121</v>
      </c>
      <c r="R487" s="3">
        <f>SalesData[[#This Row],[Revenue]]-SalesData[[#This Row],[Target]]</f>
        <v>-674.51000000000022</v>
      </c>
      <c r="S487" s="3" t="str">
        <f t="shared" si="7"/>
        <v>Below Target</v>
      </c>
    </row>
    <row r="488" spans="1:19" ht="13.8">
      <c r="A488" t="s">
        <v>665</v>
      </c>
      <c r="B488" s="21">
        <v>45743</v>
      </c>
      <c r="C488" t="s">
        <v>67</v>
      </c>
      <c r="D488" t="s">
        <v>64</v>
      </c>
      <c r="E488" t="s">
        <v>469</v>
      </c>
      <c r="F488" t="s">
        <v>25</v>
      </c>
      <c r="G488" t="s">
        <v>26</v>
      </c>
      <c r="H488" t="s">
        <v>39</v>
      </c>
      <c r="I488">
        <v>7</v>
      </c>
      <c r="J488">
        <v>212.69</v>
      </c>
      <c r="K488">
        <v>0.08</v>
      </c>
      <c r="L488">
        <v>1369.72</v>
      </c>
      <c r="M488">
        <v>1068.75</v>
      </c>
      <c r="N488">
        <v>1465.06</v>
      </c>
      <c r="O488" s="3">
        <f>_xlfn.XLOOKUP(SalesData[[#This Row],[Product]],ProductLookup[Product],ProductLookup[Standard_Price],"Not Found")</f>
        <v>220</v>
      </c>
      <c r="P488" s="3">
        <f>SalesData[[#This Row],[Revenue]]-SalesData[[#This Row],[Cost]]</f>
        <v>300.97000000000003</v>
      </c>
      <c r="Q488" s="5">
        <f>IFERROR(SalesData[[#This Row],[Profit]]/SalesData[[#This Row],[Revenue]],0)</f>
        <v>0.21973103992056772</v>
      </c>
      <c r="R488" s="3">
        <f>SalesData[[#This Row],[Revenue]]-SalesData[[#This Row],[Target]]</f>
        <v>-95.339999999999918</v>
      </c>
      <c r="S488" s="3" t="str">
        <f t="shared" si="7"/>
        <v>Below Target</v>
      </c>
    </row>
    <row r="489" spans="1:19" ht="27.6">
      <c r="A489" t="s">
        <v>666</v>
      </c>
      <c r="B489" s="21">
        <v>45735</v>
      </c>
      <c r="C489" t="s">
        <v>15</v>
      </c>
      <c r="D489" t="s">
        <v>16</v>
      </c>
      <c r="E489" t="s">
        <v>94</v>
      </c>
      <c r="F489" t="s">
        <v>32</v>
      </c>
      <c r="G489" t="s">
        <v>45</v>
      </c>
      <c r="H489" t="s">
        <v>46</v>
      </c>
      <c r="I489">
        <v>5</v>
      </c>
      <c r="J489">
        <v>355.9</v>
      </c>
      <c r="K489">
        <v>0.1</v>
      </c>
      <c r="L489">
        <v>1601.55</v>
      </c>
      <c r="M489">
        <v>1104.5999999999999</v>
      </c>
      <c r="N489">
        <v>1429.19</v>
      </c>
      <c r="O489" s="3">
        <f>_xlfn.XLOOKUP(SalesData[[#This Row],[Product]],ProductLookup[Product],ProductLookup[Standard_Price],"Not Found")</f>
        <v>340</v>
      </c>
      <c r="P489" s="3">
        <f>SalesData[[#This Row],[Revenue]]-SalesData[[#This Row],[Cost]]</f>
        <v>496.95000000000005</v>
      </c>
      <c r="Q489" s="5">
        <f>IFERROR(SalesData[[#This Row],[Profit]]/SalesData[[#This Row],[Revenue]],0)</f>
        <v>0.31029315350753961</v>
      </c>
      <c r="R489" s="3">
        <f>SalesData[[#This Row],[Revenue]]-SalesData[[#This Row],[Target]]</f>
        <v>172.3599999999999</v>
      </c>
      <c r="S489" s="3" t="str">
        <f t="shared" si="7"/>
        <v>Above Target</v>
      </c>
    </row>
    <row r="490" spans="1:19" ht="13.8">
      <c r="A490" t="s">
        <v>667</v>
      </c>
      <c r="B490" s="21">
        <v>45694</v>
      </c>
      <c r="C490" t="s">
        <v>67</v>
      </c>
      <c r="D490" t="s">
        <v>82</v>
      </c>
      <c r="E490" t="s">
        <v>166</v>
      </c>
      <c r="F490" t="s">
        <v>18</v>
      </c>
      <c r="G490" t="s">
        <v>26</v>
      </c>
      <c r="H490" t="s">
        <v>27</v>
      </c>
      <c r="I490">
        <v>13</v>
      </c>
      <c r="J490">
        <v>334.94</v>
      </c>
      <c r="K490">
        <v>0.02</v>
      </c>
      <c r="L490">
        <v>4267.1400000000003</v>
      </c>
      <c r="M490">
        <v>2954.65</v>
      </c>
      <c r="N490">
        <v>4297.2299999999996</v>
      </c>
      <c r="O490" s="3">
        <f>_xlfn.XLOOKUP(SalesData[[#This Row],[Product]],ProductLookup[Product],ProductLookup[Standard_Price],"Not Found")</f>
        <v>320</v>
      </c>
      <c r="P490" s="3">
        <f>SalesData[[#This Row],[Revenue]]-SalesData[[#This Row],[Cost]]</f>
        <v>1312.4900000000002</v>
      </c>
      <c r="Q490" s="5">
        <f>IFERROR(SalesData[[#This Row],[Profit]]/SalesData[[#This Row],[Revenue]],0)</f>
        <v>0.30758072151370708</v>
      </c>
      <c r="R490" s="3">
        <f>SalesData[[#This Row],[Revenue]]-SalesData[[#This Row],[Target]]</f>
        <v>-30.089999999999236</v>
      </c>
      <c r="S490" s="3" t="str">
        <f t="shared" si="7"/>
        <v>Below Target</v>
      </c>
    </row>
    <row r="491" spans="1:19" ht="27.6">
      <c r="A491" t="s">
        <v>668</v>
      </c>
      <c r="B491" s="21">
        <v>45886</v>
      </c>
      <c r="C491" t="s">
        <v>29</v>
      </c>
      <c r="D491" t="s">
        <v>68</v>
      </c>
      <c r="E491" t="s">
        <v>481</v>
      </c>
      <c r="F491" t="s">
        <v>32</v>
      </c>
      <c r="G491" t="s">
        <v>26</v>
      </c>
      <c r="H491" t="s">
        <v>39</v>
      </c>
      <c r="I491">
        <v>8</v>
      </c>
      <c r="J491">
        <v>223.48</v>
      </c>
      <c r="K491">
        <v>0.08</v>
      </c>
      <c r="L491">
        <v>1644.81</v>
      </c>
      <c r="M491">
        <v>1232.8800000000001</v>
      </c>
      <c r="N491">
        <v>1593.32</v>
      </c>
      <c r="O491" s="3">
        <f>_xlfn.XLOOKUP(SalesData[[#This Row],[Product]],ProductLookup[Product],ProductLookup[Standard_Price],"Not Found")</f>
        <v>220</v>
      </c>
      <c r="P491" s="3">
        <f>SalesData[[#This Row],[Revenue]]-SalesData[[#This Row],[Cost]]</f>
        <v>411.92999999999984</v>
      </c>
      <c r="Q491" s="5">
        <f>IFERROR(SalesData[[#This Row],[Profit]]/SalesData[[#This Row],[Revenue]],0)</f>
        <v>0.2504423003264814</v>
      </c>
      <c r="R491" s="3">
        <f>SalesData[[#This Row],[Revenue]]-SalesData[[#This Row],[Target]]</f>
        <v>51.490000000000009</v>
      </c>
      <c r="S491" s="3" t="str">
        <f t="shared" si="7"/>
        <v>Above Target</v>
      </c>
    </row>
    <row r="492" spans="1:19" ht="27.6">
      <c r="A492" t="s">
        <v>669</v>
      </c>
      <c r="B492" s="21">
        <v>45950</v>
      </c>
      <c r="C492" t="s">
        <v>67</v>
      </c>
      <c r="D492" t="s">
        <v>82</v>
      </c>
      <c r="E492" t="s">
        <v>221</v>
      </c>
      <c r="F492" t="s">
        <v>18</v>
      </c>
      <c r="G492" t="s">
        <v>33</v>
      </c>
      <c r="H492" t="s">
        <v>34</v>
      </c>
      <c r="I492">
        <v>3</v>
      </c>
      <c r="J492">
        <v>36.26</v>
      </c>
      <c r="K492">
        <v>0.03</v>
      </c>
      <c r="L492">
        <v>105.52</v>
      </c>
      <c r="M492">
        <v>78.25</v>
      </c>
      <c r="N492">
        <v>103.29</v>
      </c>
      <c r="O492" s="3">
        <f>_xlfn.XLOOKUP(SalesData[[#This Row],[Product]],ProductLookup[Product],ProductLookup[Standard_Price],"Not Found")</f>
        <v>35</v>
      </c>
      <c r="P492" s="3">
        <f>SalesData[[#This Row],[Revenue]]-SalesData[[#This Row],[Cost]]</f>
        <v>27.269999999999996</v>
      </c>
      <c r="Q492" s="5">
        <f>IFERROR(SalesData[[#This Row],[Profit]]/SalesData[[#This Row],[Revenue]],0)</f>
        <v>0.25843442001516298</v>
      </c>
      <c r="R492" s="3">
        <f>SalesData[[#This Row],[Revenue]]-SalesData[[#This Row],[Target]]</f>
        <v>2.2299999999999898</v>
      </c>
      <c r="S492" s="3" t="str">
        <f t="shared" si="7"/>
        <v>Above Target</v>
      </c>
    </row>
    <row r="493" spans="1:19" ht="27.6">
      <c r="A493" t="s">
        <v>670</v>
      </c>
      <c r="B493" s="21">
        <v>46016</v>
      </c>
      <c r="C493" t="s">
        <v>15</v>
      </c>
      <c r="D493" t="s">
        <v>68</v>
      </c>
      <c r="E493" t="s">
        <v>656</v>
      </c>
      <c r="F493" t="s">
        <v>32</v>
      </c>
      <c r="G493" t="s">
        <v>45</v>
      </c>
      <c r="H493" t="s">
        <v>46</v>
      </c>
      <c r="I493">
        <v>1</v>
      </c>
      <c r="J493">
        <v>344.22</v>
      </c>
      <c r="K493">
        <v>0.05</v>
      </c>
      <c r="L493">
        <v>327.01</v>
      </c>
      <c r="M493">
        <v>211.48</v>
      </c>
      <c r="N493">
        <v>313.52</v>
      </c>
      <c r="O493" s="3">
        <f>_xlfn.XLOOKUP(SalesData[[#This Row],[Product]],ProductLookup[Product],ProductLookup[Standard_Price],"Not Found")</f>
        <v>340</v>
      </c>
      <c r="P493" s="3">
        <f>SalesData[[#This Row],[Revenue]]-SalesData[[#This Row],[Cost]]</f>
        <v>115.53</v>
      </c>
      <c r="Q493" s="5">
        <f>IFERROR(SalesData[[#This Row],[Profit]]/SalesData[[#This Row],[Revenue]],0)</f>
        <v>0.35329194825846305</v>
      </c>
      <c r="R493" s="3">
        <f>SalesData[[#This Row],[Revenue]]-SalesData[[#This Row],[Target]]</f>
        <v>13.490000000000009</v>
      </c>
      <c r="S493" s="3" t="str">
        <f t="shared" si="7"/>
        <v>Above Target</v>
      </c>
    </row>
    <row r="494" spans="1:19" ht="27.6">
      <c r="A494" t="s">
        <v>671</v>
      </c>
      <c r="B494" s="21">
        <v>46005</v>
      </c>
      <c r="C494" t="s">
        <v>29</v>
      </c>
      <c r="D494" t="s">
        <v>68</v>
      </c>
      <c r="E494" t="s">
        <v>672</v>
      </c>
      <c r="F494" t="s">
        <v>25</v>
      </c>
      <c r="G494" t="s">
        <v>45</v>
      </c>
      <c r="H494" t="s">
        <v>47</v>
      </c>
      <c r="I494">
        <v>12</v>
      </c>
      <c r="J494">
        <v>439.15</v>
      </c>
      <c r="K494">
        <v>0.02</v>
      </c>
      <c r="L494">
        <v>5164.3999999999996</v>
      </c>
      <c r="M494">
        <v>3627.53</v>
      </c>
      <c r="N494">
        <v>4946.58</v>
      </c>
      <c r="O494" s="3">
        <f>_xlfn.XLOOKUP(SalesData[[#This Row],[Product]],ProductLookup[Product],ProductLookup[Standard_Price],"Not Found")</f>
        <v>420</v>
      </c>
      <c r="P494" s="3">
        <f>SalesData[[#This Row],[Revenue]]-SalesData[[#This Row],[Cost]]</f>
        <v>1536.8699999999994</v>
      </c>
      <c r="Q494" s="5">
        <f>IFERROR(SalesData[[#This Row],[Profit]]/SalesData[[#This Row],[Revenue]],0)</f>
        <v>0.29758926496785676</v>
      </c>
      <c r="R494" s="3">
        <f>SalesData[[#This Row],[Revenue]]-SalesData[[#This Row],[Target]]</f>
        <v>217.81999999999971</v>
      </c>
      <c r="S494" s="3" t="str">
        <f t="shared" si="7"/>
        <v>Above Target</v>
      </c>
    </row>
    <row r="495" spans="1:19" ht="13.8">
      <c r="A495" t="s">
        <v>673</v>
      </c>
      <c r="B495" s="21">
        <v>45935</v>
      </c>
      <c r="C495" t="s">
        <v>67</v>
      </c>
      <c r="D495" t="s">
        <v>68</v>
      </c>
      <c r="E495" t="s">
        <v>469</v>
      </c>
      <c r="F495" t="s">
        <v>74</v>
      </c>
      <c r="G495" t="s">
        <v>33</v>
      </c>
      <c r="H495" t="s">
        <v>34</v>
      </c>
      <c r="I495">
        <v>7</v>
      </c>
      <c r="J495">
        <v>36.619999999999997</v>
      </c>
      <c r="K495">
        <v>0.1</v>
      </c>
      <c r="L495">
        <v>230.71</v>
      </c>
      <c r="M495">
        <v>150.22999999999999</v>
      </c>
      <c r="N495">
        <v>243.74</v>
      </c>
      <c r="O495" s="3">
        <f>_xlfn.XLOOKUP(SalesData[[#This Row],[Product]],ProductLookup[Product],ProductLookup[Standard_Price],"Not Found")</f>
        <v>35</v>
      </c>
      <c r="P495" s="3">
        <f>SalesData[[#This Row],[Revenue]]-SalesData[[#This Row],[Cost]]</f>
        <v>80.480000000000018</v>
      </c>
      <c r="Q495" s="5">
        <f>IFERROR(SalesData[[#This Row],[Profit]]/SalesData[[#This Row],[Revenue]],0)</f>
        <v>0.34883620129166493</v>
      </c>
      <c r="R495" s="3">
        <f>SalesData[[#This Row],[Revenue]]-SalesData[[#This Row],[Target]]</f>
        <v>-13.030000000000001</v>
      </c>
      <c r="S495" s="3" t="str">
        <f t="shared" si="7"/>
        <v>Below Target</v>
      </c>
    </row>
    <row r="496" spans="1:19" ht="13.8">
      <c r="A496" t="s">
        <v>674</v>
      </c>
      <c r="B496" s="21">
        <v>45844</v>
      </c>
      <c r="C496" t="s">
        <v>22</v>
      </c>
      <c r="D496" t="s">
        <v>64</v>
      </c>
      <c r="E496" t="s">
        <v>131</v>
      </c>
      <c r="F496" t="s">
        <v>18</v>
      </c>
      <c r="G496" t="s">
        <v>19</v>
      </c>
      <c r="H496" t="s">
        <v>38</v>
      </c>
      <c r="I496">
        <v>4</v>
      </c>
      <c r="J496">
        <v>963.28</v>
      </c>
      <c r="K496">
        <v>0.03</v>
      </c>
      <c r="L496">
        <v>3737.53</v>
      </c>
      <c r="M496">
        <v>2335.5100000000002</v>
      </c>
      <c r="N496">
        <v>3746.4</v>
      </c>
      <c r="O496" s="3">
        <f>_xlfn.XLOOKUP(SalesData[[#This Row],[Product]],ProductLookup[Product],ProductLookup[Standard_Price],"Not Found")</f>
        <v>950</v>
      </c>
      <c r="P496" s="3">
        <f>SalesData[[#This Row],[Revenue]]-SalesData[[#This Row],[Cost]]</f>
        <v>1402.02</v>
      </c>
      <c r="Q496" s="5">
        <f>IFERROR(SalesData[[#This Row],[Profit]]/SalesData[[#This Row],[Revenue]],0)</f>
        <v>0.37511939703494018</v>
      </c>
      <c r="R496" s="3">
        <f>SalesData[[#This Row],[Revenue]]-SalesData[[#This Row],[Target]]</f>
        <v>-8.8699999999998909</v>
      </c>
      <c r="S496" s="3" t="str">
        <f t="shared" si="7"/>
        <v>Below Target</v>
      </c>
    </row>
    <row r="497" spans="1:19" ht="27.6">
      <c r="A497" t="s">
        <v>675</v>
      </c>
      <c r="B497" s="21">
        <v>45898</v>
      </c>
      <c r="C497" t="s">
        <v>22</v>
      </c>
      <c r="D497" t="s">
        <v>30</v>
      </c>
      <c r="E497" t="s">
        <v>192</v>
      </c>
      <c r="F497" t="s">
        <v>74</v>
      </c>
      <c r="G497" t="s">
        <v>33</v>
      </c>
      <c r="H497" t="s">
        <v>43</v>
      </c>
      <c r="I497">
        <v>8</v>
      </c>
      <c r="J497">
        <v>78.319999999999993</v>
      </c>
      <c r="K497">
        <v>0.08</v>
      </c>
      <c r="L497">
        <v>576.44000000000005</v>
      </c>
      <c r="M497">
        <v>414.72</v>
      </c>
      <c r="N497">
        <v>555.01</v>
      </c>
      <c r="O497" s="3">
        <f>_xlfn.XLOOKUP(SalesData[[#This Row],[Product]],ProductLookup[Product],ProductLookup[Standard_Price],"Not Found")</f>
        <v>75</v>
      </c>
      <c r="P497" s="3">
        <f>SalesData[[#This Row],[Revenue]]-SalesData[[#This Row],[Cost]]</f>
        <v>161.72000000000003</v>
      </c>
      <c r="Q497" s="5">
        <f>IFERROR(SalesData[[#This Row],[Profit]]/SalesData[[#This Row],[Revenue]],0)</f>
        <v>0.28054958018180559</v>
      </c>
      <c r="R497" s="3">
        <f>SalesData[[#This Row],[Revenue]]-SalesData[[#This Row],[Target]]</f>
        <v>21.430000000000064</v>
      </c>
      <c r="S497" s="3" t="str">
        <f t="shared" si="7"/>
        <v>Above Target</v>
      </c>
    </row>
    <row r="498" spans="1:19" ht="27.6">
      <c r="A498" t="s">
        <v>676</v>
      </c>
      <c r="B498" s="21">
        <v>46012</v>
      </c>
      <c r="C498" t="s">
        <v>67</v>
      </c>
      <c r="D498" t="s">
        <v>64</v>
      </c>
      <c r="E498" t="s">
        <v>197</v>
      </c>
      <c r="F498" t="s">
        <v>25</v>
      </c>
      <c r="G498" t="s">
        <v>19</v>
      </c>
      <c r="H498" t="s">
        <v>20</v>
      </c>
      <c r="I498">
        <v>11</v>
      </c>
      <c r="J498">
        <v>864.96</v>
      </c>
      <c r="K498">
        <v>0.02</v>
      </c>
      <c r="L498">
        <v>9324.27</v>
      </c>
      <c r="M498">
        <v>6402.85</v>
      </c>
      <c r="N498">
        <v>8467.5</v>
      </c>
      <c r="O498" s="3">
        <f>_xlfn.XLOOKUP(SalesData[[#This Row],[Product]],ProductLookup[Product],ProductLookup[Standard_Price],"Not Found")</f>
        <v>850</v>
      </c>
      <c r="P498" s="3">
        <f>SalesData[[#This Row],[Revenue]]-SalesData[[#This Row],[Cost]]</f>
        <v>2921.42</v>
      </c>
      <c r="Q498" s="5">
        <f>IFERROR(SalesData[[#This Row],[Profit]]/SalesData[[#This Row],[Revenue]],0)</f>
        <v>0.31331353553683022</v>
      </c>
      <c r="R498" s="3">
        <f>SalesData[[#This Row],[Revenue]]-SalesData[[#This Row],[Target]]</f>
        <v>856.77000000000044</v>
      </c>
      <c r="S498" s="3" t="str">
        <f t="shared" si="7"/>
        <v>Above Target</v>
      </c>
    </row>
    <row r="499" spans="1:19" ht="13.8">
      <c r="A499" t="s">
        <v>677</v>
      </c>
      <c r="B499" s="21">
        <v>45982</v>
      </c>
      <c r="C499" t="s">
        <v>67</v>
      </c>
      <c r="D499" t="s">
        <v>23</v>
      </c>
      <c r="E499" t="s">
        <v>221</v>
      </c>
      <c r="F499" t="s">
        <v>18</v>
      </c>
      <c r="G499" t="s">
        <v>26</v>
      </c>
      <c r="H499" t="s">
        <v>39</v>
      </c>
      <c r="I499">
        <v>12</v>
      </c>
      <c r="J499">
        <v>222.03</v>
      </c>
      <c r="K499">
        <v>0.02</v>
      </c>
      <c r="L499">
        <v>2611.0700000000002</v>
      </c>
      <c r="M499">
        <v>1778.73</v>
      </c>
      <c r="N499">
        <v>2830.58</v>
      </c>
      <c r="O499" s="3">
        <f>_xlfn.XLOOKUP(SalesData[[#This Row],[Product]],ProductLookup[Product],ProductLookup[Standard_Price],"Not Found")</f>
        <v>220</v>
      </c>
      <c r="P499" s="3">
        <f>SalesData[[#This Row],[Revenue]]-SalesData[[#This Row],[Cost]]</f>
        <v>832.34000000000015</v>
      </c>
      <c r="Q499" s="5">
        <f>IFERROR(SalesData[[#This Row],[Profit]]/SalesData[[#This Row],[Revenue]],0)</f>
        <v>0.31877352962578565</v>
      </c>
      <c r="R499" s="3">
        <f>SalesData[[#This Row],[Revenue]]-SalesData[[#This Row],[Target]]</f>
        <v>-219.50999999999976</v>
      </c>
      <c r="S499" s="3" t="str">
        <f t="shared" si="7"/>
        <v>Below Target</v>
      </c>
    </row>
    <row r="500" spans="1:19" ht="13.8">
      <c r="A500" t="s">
        <v>678</v>
      </c>
      <c r="B500" s="21">
        <v>45965</v>
      </c>
      <c r="C500" t="s">
        <v>22</v>
      </c>
      <c r="D500" t="s">
        <v>82</v>
      </c>
      <c r="E500" t="s">
        <v>266</v>
      </c>
      <c r="F500" t="s">
        <v>32</v>
      </c>
      <c r="G500" t="s">
        <v>33</v>
      </c>
      <c r="H500" t="s">
        <v>41</v>
      </c>
      <c r="I500">
        <v>14</v>
      </c>
      <c r="J500">
        <v>86.41</v>
      </c>
      <c r="K500">
        <v>0.08</v>
      </c>
      <c r="L500">
        <v>1112.96</v>
      </c>
      <c r="M500">
        <v>678.95</v>
      </c>
      <c r="N500">
        <v>1219.03</v>
      </c>
      <c r="O500" s="3">
        <f>_xlfn.XLOOKUP(SalesData[[#This Row],[Product]],ProductLookup[Product],ProductLookup[Standard_Price],"Not Found")</f>
        <v>85</v>
      </c>
      <c r="P500" s="3">
        <f>SalesData[[#This Row],[Revenue]]-SalesData[[#This Row],[Cost]]</f>
        <v>434.01</v>
      </c>
      <c r="Q500" s="5">
        <f>IFERROR(SalesData[[#This Row],[Profit]]/SalesData[[#This Row],[Revenue]],0)</f>
        <v>0.38996010638297868</v>
      </c>
      <c r="R500" s="3">
        <f>SalesData[[#This Row],[Revenue]]-SalesData[[#This Row],[Target]]</f>
        <v>-106.06999999999994</v>
      </c>
      <c r="S500" s="3" t="str">
        <f t="shared" si="7"/>
        <v>Below Target</v>
      </c>
    </row>
    <row r="501" spans="1:19" ht="27.6">
      <c r="A501" t="s">
        <v>679</v>
      </c>
      <c r="B501" s="21">
        <v>45672</v>
      </c>
      <c r="C501" t="s">
        <v>29</v>
      </c>
      <c r="D501" t="s">
        <v>23</v>
      </c>
      <c r="E501" t="s">
        <v>192</v>
      </c>
      <c r="F501" t="s">
        <v>32</v>
      </c>
      <c r="G501" t="s">
        <v>19</v>
      </c>
      <c r="H501" t="s">
        <v>37</v>
      </c>
      <c r="I501">
        <v>13</v>
      </c>
      <c r="J501">
        <v>1045.52</v>
      </c>
      <c r="K501">
        <v>0.02</v>
      </c>
      <c r="L501">
        <v>13319.92</v>
      </c>
      <c r="M501">
        <v>8243.32</v>
      </c>
      <c r="N501">
        <v>12517.27</v>
      </c>
      <c r="O501" s="3">
        <f>_xlfn.XLOOKUP(SalesData[[#This Row],[Product]],ProductLookup[Product],ProductLookup[Standard_Price],"Not Found")</f>
        <v>1100</v>
      </c>
      <c r="P501" s="3">
        <f>SalesData[[#This Row],[Revenue]]-SalesData[[#This Row],[Cost]]</f>
        <v>5076.6000000000004</v>
      </c>
      <c r="Q501" s="5">
        <f>IFERROR(SalesData[[#This Row],[Profit]]/SalesData[[#This Row],[Revenue]],0)</f>
        <v>0.38112841518567681</v>
      </c>
      <c r="R501" s="3">
        <f>SalesData[[#This Row],[Revenue]]-SalesData[[#This Row],[Target]]</f>
        <v>802.64999999999964</v>
      </c>
      <c r="S501" s="3" t="str">
        <f t="shared" si="7"/>
        <v>Above Target</v>
      </c>
    </row>
  </sheetData>
  <conditionalFormatting sqref="S2:S501">
    <cfRule type="containsText" dxfId="0" priority="1" operator="containsText" text="Below Target">
      <formula>NOT(ISERROR(SEARCH("Below Target",S2)))</formula>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41C08-7A6F-4E0B-92C6-D6AB61ED5CCA}">
  <dimension ref="A1:N501"/>
  <sheetViews>
    <sheetView workbookViewId="0">
      <selection activeCell="A2" sqref="A2:N501"/>
    </sheetView>
  </sheetViews>
  <sheetFormatPr defaultRowHeight="14.4"/>
  <cols>
    <col min="1" max="1" width="10.69921875" customWidth="1"/>
    <col min="2" max="2" width="12.796875" customWidth="1"/>
    <col min="3" max="3" width="8.8984375" customWidth="1"/>
    <col min="4" max="4" width="12.09765625" customWidth="1"/>
    <col min="5" max="5" width="12.296875" customWidth="1"/>
    <col min="6" max="6" width="10" customWidth="1"/>
    <col min="7" max="7" width="10.69921875" customWidth="1"/>
    <col min="8" max="8" width="18.59765625" customWidth="1"/>
    <col min="9" max="9" width="7.5" customWidth="1"/>
    <col min="10" max="10" width="11.796875" customWidth="1"/>
    <col min="11" max="12" width="10.5" customWidth="1"/>
    <col min="13" max="14" width="8.8984375" customWidth="1"/>
  </cols>
  <sheetData>
    <row r="1" spans="1:14" ht="13.8">
      <c r="A1" t="s">
        <v>0</v>
      </c>
      <c r="B1" t="s">
        <v>1</v>
      </c>
      <c r="C1" t="s">
        <v>2</v>
      </c>
      <c r="D1" t="s">
        <v>3</v>
      </c>
      <c r="E1" t="s">
        <v>4</v>
      </c>
      <c r="F1" t="s">
        <v>5</v>
      </c>
      <c r="G1" t="s">
        <v>6</v>
      </c>
      <c r="H1" t="s">
        <v>7</v>
      </c>
      <c r="I1" t="s">
        <v>8</v>
      </c>
      <c r="J1" t="s">
        <v>9</v>
      </c>
      <c r="K1" t="s">
        <v>10</v>
      </c>
      <c r="L1" t="s">
        <v>11</v>
      </c>
      <c r="M1" t="s">
        <v>12</v>
      </c>
      <c r="N1" t="s">
        <v>13</v>
      </c>
    </row>
    <row r="2" spans="1:14" ht="13.8">
      <c r="A2" t="s">
        <v>14</v>
      </c>
      <c r="B2" s="21">
        <v>45823</v>
      </c>
      <c r="C2" t="s">
        <v>15</v>
      </c>
      <c r="D2" t="s">
        <v>64</v>
      </c>
      <c r="E2" t="s">
        <v>65</v>
      </c>
      <c r="F2" t="s">
        <v>18</v>
      </c>
      <c r="G2" t="s">
        <v>19</v>
      </c>
      <c r="H2" t="s">
        <v>38</v>
      </c>
      <c r="I2">
        <v>7</v>
      </c>
      <c r="J2">
        <v>964.34</v>
      </c>
      <c r="K2">
        <v>0</v>
      </c>
      <c r="L2">
        <v>6750.38</v>
      </c>
      <c r="M2">
        <v>5269.89</v>
      </c>
      <c r="N2">
        <v>6092.83</v>
      </c>
    </row>
    <row r="3" spans="1:14" ht="13.8">
      <c r="A3" t="s">
        <v>21</v>
      </c>
      <c r="B3" s="21">
        <v>45702</v>
      </c>
      <c r="C3" t="s">
        <v>15</v>
      </c>
      <c r="D3" t="s">
        <v>23</v>
      </c>
      <c r="E3" t="s">
        <v>66</v>
      </c>
      <c r="F3" t="s">
        <v>18</v>
      </c>
      <c r="G3" t="s">
        <v>33</v>
      </c>
      <c r="H3" t="s">
        <v>34</v>
      </c>
      <c r="I3">
        <v>7</v>
      </c>
      <c r="J3">
        <v>33.49</v>
      </c>
      <c r="K3">
        <v>0</v>
      </c>
      <c r="L3">
        <v>234.43</v>
      </c>
      <c r="M3">
        <v>169.08</v>
      </c>
      <c r="N3">
        <v>209.62</v>
      </c>
    </row>
    <row r="4" spans="1:14" ht="13.8">
      <c r="A4" t="s">
        <v>28</v>
      </c>
      <c r="B4" s="21">
        <v>45953</v>
      </c>
      <c r="C4" t="s">
        <v>67</v>
      </c>
      <c r="D4" t="s">
        <v>68</v>
      </c>
      <c r="E4" t="s">
        <v>69</v>
      </c>
      <c r="F4" t="s">
        <v>18</v>
      </c>
      <c r="G4" t="s">
        <v>33</v>
      </c>
      <c r="H4" t="s">
        <v>43</v>
      </c>
      <c r="I4">
        <v>7</v>
      </c>
      <c r="J4">
        <v>71.62</v>
      </c>
      <c r="K4">
        <v>0.02</v>
      </c>
      <c r="L4">
        <v>491.31</v>
      </c>
      <c r="M4">
        <v>299.82</v>
      </c>
      <c r="N4">
        <v>533.58000000000004</v>
      </c>
    </row>
    <row r="5" spans="1:14" ht="13.8">
      <c r="A5" t="s">
        <v>70</v>
      </c>
      <c r="B5" s="21">
        <v>45950</v>
      </c>
      <c r="C5" t="s">
        <v>29</v>
      </c>
      <c r="D5" t="s">
        <v>30</v>
      </c>
      <c r="E5" t="s">
        <v>71</v>
      </c>
      <c r="F5" t="s">
        <v>18</v>
      </c>
      <c r="G5" t="s">
        <v>26</v>
      </c>
      <c r="H5" t="s">
        <v>27</v>
      </c>
      <c r="I5">
        <v>9</v>
      </c>
      <c r="J5">
        <v>330.12</v>
      </c>
      <c r="K5">
        <v>0.02</v>
      </c>
      <c r="L5">
        <v>2911.66</v>
      </c>
      <c r="M5">
        <v>1813.01</v>
      </c>
      <c r="N5">
        <v>2961.42</v>
      </c>
    </row>
    <row r="6" spans="1:14" ht="13.8">
      <c r="A6" t="s">
        <v>72</v>
      </c>
      <c r="B6" s="21">
        <v>45946</v>
      </c>
      <c r="C6" t="s">
        <v>22</v>
      </c>
      <c r="D6" t="s">
        <v>64</v>
      </c>
      <c r="E6" t="s">
        <v>73</v>
      </c>
      <c r="F6" t="s">
        <v>74</v>
      </c>
      <c r="G6" t="s">
        <v>19</v>
      </c>
      <c r="H6" t="s">
        <v>20</v>
      </c>
      <c r="I6">
        <v>10</v>
      </c>
      <c r="J6">
        <v>825.01</v>
      </c>
      <c r="K6">
        <v>0.1</v>
      </c>
      <c r="L6">
        <v>7425.09</v>
      </c>
      <c r="M6">
        <v>5323.63</v>
      </c>
      <c r="N6">
        <v>7919.12</v>
      </c>
    </row>
    <row r="7" spans="1:14" ht="13.8">
      <c r="A7" t="s">
        <v>75</v>
      </c>
      <c r="B7" s="21">
        <v>45843</v>
      </c>
      <c r="C7" t="s">
        <v>67</v>
      </c>
      <c r="D7" t="s">
        <v>64</v>
      </c>
      <c r="E7" t="s">
        <v>76</v>
      </c>
      <c r="F7" t="s">
        <v>32</v>
      </c>
      <c r="G7" t="s">
        <v>26</v>
      </c>
      <c r="H7" t="s">
        <v>27</v>
      </c>
      <c r="I7">
        <v>4</v>
      </c>
      <c r="J7">
        <v>329.42</v>
      </c>
      <c r="K7">
        <v>0.1</v>
      </c>
      <c r="L7">
        <v>1185.9100000000001</v>
      </c>
      <c r="M7">
        <v>915</v>
      </c>
      <c r="N7">
        <v>1066.9000000000001</v>
      </c>
    </row>
    <row r="8" spans="1:14" ht="13.8">
      <c r="A8" t="s">
        <v>77</v>
      </c>
      <c r="B8" s="21">
        <v>45887</v>
      </c>
      <c r="C8" t="s">
        <v>67</v>
      </c>
      <c r="D8" t="s">
        <v>23</v>
      </c>
      <c r="E8" t="s">
        <v>78</v>
      </c>
      <c r="F8" t="s">
        <v>74</v>
      </c>
      <c r="G8" t="s">
        <v>26</v>
      </c>
      <c r="H8" t="s">
        <v>27</v>
      </c>
      <c r="I8">
        <v>10</v>
      </c>
      <c r="J8">
        <v>335.37</v>
      </c>
      <c r="K8">
        <v>0</v>
      </c>
      <c r="L8">
        <v>3353.7</v>
      </c>
      <c r="M8">
        <v>2389.9299999999998</v>
      </c>
      <c r="N8">
        <v>3084.03</v>
      </c>
    </row>
    <row r="9" spans="1:14" ht="13.8">
      <c r="A9" t="s">
        <v>79</v>
      </c>
      <c r="B9" s="21">
        <v>45873</v>
      </c>
      <c r="C9" t="s">
        <v>67</v>
      </c>
      <c r="D9" t="s">
        <v>30</v>
      </c>
      <c r="E9" t="s">
        <v>80</v>
      </c>
      <c r="F9" t="s">
        <v>32</v>
      </c>
      <c r="G9" t="s">
        <v>19</v>
      </c>
      <c r="H9" t="s">
        <v>20</v>
      </c>
      <c r="I9">
        <v>11</v>
      </c>
      <c r="J9">
        <v>814.1</v>
      </c>
      <c r="K9">
        <v>0.08</v>
      </c>
      <c r="L9">
        <v>8238.69</v>
      </c>
      <c r="M9">
        <v>5981.83</v>
      </c>
      <c r="N9">
        <v>8981.1200000000008</v>
      </c>
    </row>
    <row r="10" spans="1:14" ht="13.8">
      <c r="A10" t="s">
        <v>81</v>
      </c>
      <c r="B10" s="21">
        <v>45962</v>
      </c>
      <c r="C10" t="s">
        <v>22</v>
      </c>
      <c r="D10" t="s">
        <v>82</v>
      </c>
      <c r="E10" t="s">
        <v>83</v>
      </c>
      <c r="F10" t="s">
        <v>18</v>
      </c>
      <c r="G10" t="s">
        <v>33</v>
      </c>
      <c r="H10" t="s">
        <v>41</v>
      </c>
      <c r="I10">
        <v>10</v>
      </c>
      <c r="J10">
        <v>87.52</v>
      </c>
      <c r="K10">
        <v>0</v>
      </c>
      <c r="L10">
        <v>875.2</v>
      </c>
      <c r="M10">
        <v>686.85</v>
      </c>
      <c r="N10">
        <v>968.6</v>
      </c>
    </row>
    <row r="11" spans="1:14" ht="13.8">
      <c r="A11" t="s">
        <v>84</v>
      </c>
      <c r="B11" s="21">
        <v>45689</v>
      </c>
      <c r="C11" t="s">
        <v>67</v>
      </c>
      <c r="D11" t="s">
        <v>82</v>
      </c>
      <c r="E11" t="s">
        <v>85</v>
      </c>
      <c r="F11" t="s">
        <v>32</v>
      </c>
      <c r="G11" t="s">
        <v>45</v>
      </c>
      <c r="H11" t="s">
        <v>46</v>
      </c>
      <c r="I11">
        <v>12</v>
      </c>
      <c r="J11">
        <v>333.53</v>
      </c>
      <c r="K11">
        <v>0.08</v>
      </c>
      <c r="L11">
        <v>3682.17</v>
      </c>
      <c r="M11">
        <v>3013.79</v>
      </c>
      <c r="N11">
        <v>3966.66</v>
      </c>
    </row>
    <row r="12" spans="1:14" ht="13.8">
      <c r="A12" t="s">
        <v>86</v>
      </c>
      <c r="B12" s="21">
        <v>45669</v>
      </c>
      <c r="C12" t="s">
        <v>67</v>
      </c>
      <c r="D12" t="s">
        <v>23</v>
      </c>
      <c r="E12" t="s">
        <v>87</v>
      </c>
      <c r="F12" t="s">
        <v>25</v>
      </c>
      <c r="G12" t="s">
        <v>33</v>
      </c>
      <c r="H12" t="s">
        <v>41</v>
      </c>
      <c r="I12">
        <v>6</v>
      </c>
      <c r="J12">
        <v>82.18</v>
      </c>
      <c r="K12">
        <v>0</v>
      </c>
      <c r="L12">
        <v>493.08</v>
      </c>
      <c r="M12">
        <v>349.4</v>
      </c>
      <c r="N12">
        <v>459.73</v>
      </c>
    </row>
    <row r="13" spans="1:14" ht="13.8">
      <c r="A13" t="s">
        <v>88</v>
      </c>
      <c r="B13" s="21">
        <v>45861</v>
      </c>
      <c r="C13" t="s">
        <v>67</v>
      </c>
      <c r="D13" t="s">
        <v>23</v>
      </c>
      <c r="E13" t="s">
        <v>89</v>
      </c>
      <c r="F13" t="s">
        <v>74</v>
      </c>
      <c r="G13" t="s">
        <v>33</v>
      </c>
      <c r="H13" t="s">
        <v>34</v>
      </c>
      <c r="I13">
        <v>15</v>
      </c>
      <c r="J13">
        <v>36.299999999999997</v>
      </c>
      <c r="K13">
        <v>0</v>
      </c>
      <c r="L13">
        <v>544.5</v>
      </c>
      <c r="M13">
        <v>346.63</v>
      </c>
      <c r="N13">
        <v>531.65</v>
      </c>
    </row>
    <row r="14" spans="1:14" ht="13.8">
      <c r="A14" t="s">
        <v>90</v>
      </c>
      <c r="B14" s="21">
        <v>45939</v>
      </c>
      <c r="C14" t="s">
        <v>29</v>
      </c>
      <c r="D14" t="s">
        <v>23</v>
      </c>
      <c r="E14" t="s">
        <v>91</v>
      </c>
      <c r="F14" t="s">
        <v>25</v>
      </c>
      <c r="G14" t="s">
        <v>26</v>
      </c>
      <c r="H14" t="s">
        <v>27</v>
      </c>
      <c r="I14">
        <v>12</v>
      </c>
      <c r="J14">
        <v>317.29000000000002</v>
      </c>
      <c r="K14">
        <v>0.03</v>
      </c>
      <c r="L14">
        <v>3693.26</v>
      </c>
      <c r="M14">
        <v>2770.68</v>
      </c>
      <c r="N14">
        <v>3587.29</v>
      </c>
    </row>
    <row r="15" spans="1:14" ht="13.8">
      <c r="A15" t="s">
        <v>92</v>
      </c>
      <c r="B15" s="21">
        <v>45735</v>
      </c>
      <c r="C15" t="s">
        <v>67</v>
      </c>
      <c r="D15" t="s">
        <v>16</v>
      </c>
      <c r="E15" t="s">
        <v>69</v>
      </c>
      <c r="F15" t="s">
        <v>74</v>
      </c>
      <c r="G15" t="s">
        <v>26</v>
      </c>
      <c r="H15" t="s">
        <v>39</v>
      </c>
      <c r="I15">
        <v>11</v>
      </c>
      <c r="J15">
        <v>214.13</v>
      </c>
      <c r="K15">
        <v>0.05</v>
      </c>
      <c r="L15">
        <v>2237.66</v>
      </c>
      <c r="M15">
        <v>1751.73</v>
      </c>
      <c r="N15">
        <v>2067.0700000000002</v>
      </c>
    </row>
    <row r="16" spans="1:14" ht="13.8">
      <c r="A16" t="s">
        <v>93</v>
      </c>
      <c r="B16" s="21">
        <v>45931</v>
      </c>
      <c r="C16" t="s">
        <v>15</v>
      </c>
      <c r="D16" t="s">
        <v>68</v>
      </c>
      <c r="E16" t="s">
        <v>94</v>
      </c>
      <c r="F16" t="s">
        <v>74</v>
      </c>
      <c r="G16" t="s">
        <v>26</v>
      </c>
      <c r="H16" t="s">
        <v>40</v>
      </c>
      <c r="I16">
        <v>10</v>
      </c>
      <c r="J16">
        <v>452.99</v>
      </c>
      <c r="K16">
        <v>0.02</v>
      </c>
      <c r="L16">
        <v>4439.3</v>
      </c>
      <c r="M16">
        <v>3337.95</v>
      </c>
      <c r="N16">
        <v>4455.8100000000004</v>
      </c>
    </row>
    <row r="17" spans="1:14" ht="13.8">
      <c r="A17" t="s">
        <v>95</v>
      </c>
      <c r="B17" s="21">
        <v>45861</v>
      </c>
      <c r="C17" t="s">
        <v>29</v>
      </c>
      <c r="D17" t="s">
        <v>68</v>
      </c>
      <c r="E17" t="s">
        <v>96</v>
      </c>
      <c r="F17" t="s">
        <v>18</v>
      </c>
      <c r="G17" t="s">
        <v>33</v>
      </c>
      <c r="H17" t="s">
        <v>34</v>
      </c>
      <c r="I17">
        <v>7</v>
      </c>
      <c r="J17">
        <v>33.61</v>
      </c>
      <c r="K17">
        <v>0.1</v>
      </c>
      <c r="L17">
        <v>211.74</v>
      </c>
      <c r="M17">
        <v>145.69999999999999</v>
      </c>
      <c r="N17">
        <v>196.02</v>
      </c>
    </row>
    <row r="18" spans="1:14" ht="13.8">
      <c r="A18" t="s">
        <v>97</v>
      </c>
      <c r="B18" s="21">
        <v>45832</v>
      </c>
      <c r="C18" t="s">
        <v>67</v>
      </c>
      <c r="D18" t="s">
        <v>64</v>
      </c>
      <c r="E18" t="s">
        <v>98</v>
      </c>
      <c r="F18" t="s">
        <v>18</v>
      </c>
      <c r="G18" t="s">
        <v>33</v>
      </c>
      <c r="H18" t="s">
        <v>43</v>
      </c>
      <c r="I18">
        <v>1</v>
      </c>
      <c r="J18">
        <v>72.02</v>
      </c>
      <c r="K18">
        <v>0.08</v>
      </c>
      <c r="L18">
        <v>66.260000000000005</v>
      </c>
      <c r="M18">
        <v>41.96</v>
      </c>
      <c r="N18">
        <v>59.92</v>
      </c>
    </row>
    <row r="19" spans="1:14" ht="13.8">
      <c r="A19" t="s">
        <v>99</v>
      </c>
      <c r="B19" s="21">
        <v>45764</v>
      </c>
      <c r="C19" t="s">
        <v>22</v>
      </c>
      <c r="D19" t="s">
        <v>16</v>
      </c>
      <c r="E19" t="s">
        <v>100</v>
      </c>
      <c r="F19" t="s">
        <v>74</v>
      </c>
      <c r="G19" t="s">
        <v>33</v>
      </c>
      <c r="H19" t="s">
        <v>43</v>
      </c>
      <c r="I19">
        <v>7</v>
      </c>
      <c r="J19">
        <v>72.36</v>
      </c>
      <c r="K19">
        <v>0.03</v>
      </c>
      <c r="L19">
        <v>491.32</v>
      </c>
      <c r="M19">
        <v>398.07</v>
      </c>
      <c r="N19">
        <v>503.38</v>
      </c>
    </row>
    <row r="20" spans="1:14" ht="13.8">
      <c r="A20" t="s">
        <v>101</v>
      </c>
      <c r="B20" s="21">
        <v>45896</v>
      </c>
      <c r="C20" t="s">
        <v>67</v>
      </c>
      <c r="D20" t="s">
        <v>68</v>
      </c>
      <c r="E20" t="s">
        <v>102</v>
      </c>
      <c r="F20" t="s">
        <v>25</v>
      </c>
      <c r="G20" t="s">
        <v>33</v>
      </c>
      <c r="H20" t="s">
        <v>41</v>
      </c>
      <c r="I20">
        <v>8</v>
      </c>
      <c r="J20">
        <v>83.4</v>
      </c>
      <c r="K20">
        <v>0.02</v>
      </c>
      <c r="L20">
        <v>653.86</v>
      </c>
      <c r="M20">
        <v>407.02</v>
      </c>
      <c r="N20">
        <v>629.16999999999996</v>
      </c>
    </row>
    <row r="21" spans="1:14" ht="13.8">
      <c r="A21" t="s">
        <v>103</v>
      </c>
      <c r="B21" s="21">
        <v>45922</v>
      </c>
      <c r="C21" t="s">
        <v>15</v>
      </c>
      <c r="D21" t="s">
        <v>64</v>
      </c>
      <c r="E21" t="s">
        <v>104</v>
      </c>
      <c r="F21" t="s">
        <v>18</v>
      </c>
      <c r="G21" t="s">
        <v>19</v>
      </c>
      <c r="H21" t="s">
        <v>20</v>
      </c>
      <c r="I21">
        <v>4</v>
      </c>
      <c r="J21">
        <v>888.33</v>
      </c>
      <c r="K21">
        <v>0.08</v>
      </c>
      <c r="L21">
        <v>3269.05</v>
      </c>
      <c r="M21">
        <v>2221.6</v>
      </c>
      <c r="N21">
        <v>3418.17</v>
      </c>
    </row>
    <row r="22" spans="1:14" ht="13.8">
      <c r="A22" t="s">
        <v>105</v>
      </c>
      <c r="B22" s="21">
        <v>46014</v>
      </c>
      <c r="C22" t="s">
        <v>67</v>
      </c>
      <c r="D22" t="s">
        <v>82</v>
      </c>
      <c r="E22" t="s">
        <v>106</v>
      </c>
      <c r="F22" t="s">
        <v>25</v>
      </c>
      <c r="G22" t="s">
        <v>26</v>
      </c>
      <c r="H22" t="s">
        <v>27</v>
      </c>
      <c r="I22">
        <v>9</v>
      </c>
      <c r="J22">
        <v>315.73</v>
      </c>
      <c r="K22">
        <v>0.02</v>
      </c>
      <c r="L22">
        <v>2784.74</v>
      </c>
      <c r="M22">
        <v>1888.76</v>
      </c>
      <c r="N22">
        <v>2599.4699999999998</v>
      </c>
    </row>
    <row r="23" spans="1:14" ht="13.8">
      <c r="A23" t="s">
        <v>107</v>
      </c>
      <c r="B23" s="21">
        <v>45780</v>
      </c>
      <c r="C23" t="s">
        <v>15</v>
      </c>
      <c r="D23" t="s">
        <v>16</v>
      </c>
      <c r="E23" t="s">
        <v>108</v>
      </c>
      <c r="F23" t="s">
        <v>32</v>
      </c>
      <c r="G23" t="s">
        <v>33</v>
      </c>
      <c r="H23" t="s">
        <v>34</v>
      </c>
      <c r="I23">
        <v>12</v>
      </c>
      <c r="J23">
        <v>36.06</v>
      </c>
      <c r="K23">
        <v>0.02</v>
      </c>
      <c r="L23">
        <v>424.07</v>
      </c>
      <c r="M23">
        <v>302.74</v>
      </c>
      <c r="N23">
        <v>409.37</v>
      </c>
    </row>
    <row r="24" spans="1:14" ht="13.8">
      <c r="A24" t="s">
        <v>109</v>
      </c>
      <c r="B24" s="21">
        <v>45899</v>
      </c>
      <c r="C24" t="s">
        <v>67</v>
      </c>
      <c r="D24" t="s">
        <v>30</v>
      </c>
      <c r="E24" t="s">
        <v>91</v>
      </c>
      <c r="F24" t="s">
        <v>25</v>
      </c>
      <c r="G24" t="s">
        <v>26</v>
      </c>
      <c r="H24" t="s">
        <v>27</v>
      </c>
      <c r="I24">
        <v>4</v>
      </c>
      <c r="J24">
        <v>326.16000000000003</v>
      </c>
      <c r="K24">
        <v>0.03</v>
      </c>
      <c r="L24">
        <v>1265.5</v>
      </c>
      <c r="M24">
        <v>883.81</v>
      </c>
      <c r="N24">
        <v>1398.23</v>
      </c>
    </row>
    <row r="25" spans="1:14" ht="13.8">
      <c r="A25" t="s">
        <v>110</v>
      </c>
      <c r="B25" s="21">
        <v>45710</v>
      </c>
      <c r="C25" t="s">
        <v>15</v>
      </c>
      <c r="D25" t="s">
        <v>68</v>
      </c>
      <c r="E25" t="s">
        <v>111</v>
      </c>
      <c r="F25" t="s">
        <v>32</v>
      </c>
      <c r="G25" t="s">
        <v>26</v>
      </c>
      <c r="H25" t="s">
        <v>39</v>
      </c>
      <c r="I25">
        <v>8</v>
      </c>
      <c r="J25">
        <v>213.33</v>
      </c>
      <c r="K25">
        <v>0.02</v>
      </c>
      <c r="L25">
        <v>1672.51</v>
      </c>
      <c r="M25">
        <v>1181.0999999999999</v>
      </c>
      <c r="N25">
        <v>1867.29</v>
      </c>
    </row>
    <row r="26" spans="1:14" ht="13.8">
      <c r="A26" t="s">
        <v>112</v>
      </c>
      <c r="B26" s="21">
        <v>45987</v>
      </c>
      <c r="C26" t="s">
        <v>22</v>
      </c>
      <c r="D26" t="s">
        <v>23</v>
      </c>
      <c r="E26" t="s">
        <v>113</v>
      </c>
      <c r="F26" t="s">
        <v>32</v>
      </c>
      <c r="G26" t="s">
        <v>19</v>
      </c>
      <c r="H26" t="s">
        <v>37</v>
      </c>
      <c r="I26">
        <v>14</v>
      </c>
      <c r="J26">
        <v>1117.6600000000001</v>
      </c>
      <c r="K26">
        <v>0.05</v>
      </c>
      <c r="L26">
        <v>14864.88</v>
      </c>
      <c r="M26">
        <v>11477.27</v>
      </c>
      <c r="N26">
        <v>15757.27</v>
      </c>
    </row>
    <row r="27" spans="1:14" ht="13.8">
      <c r="A27" t="s">
        <v>114</v>
      </c>
      <c r="B27" s="21">
        <v>45702</v>
      </c>
      <c r="C27" t="s">
        <v>29</v>
      </c>
      <c r="D27" t="s">
        <v>23</v>
      </c>
      <c r="E27" t="s">
        <v>115</v>
      </c>
      <c r="F27" t="s">
        <v>18</v>
      </c>
      <c r="G27" t="s">
        <v>45</v>
      </c>
      <c r="H27" t="s">
        <v>47</v>
      </c>
      <c r="I27">
        <v>12</v>
      </c>
      <c r="J27">
        <v>415.63</v>
      </c>
      <c r="K27">
        <v>0.05</v>
      </c>
      <c r="L27">
        <v>4738.18</v>
      </c>
      <c r="M27">
        <v>3617.78</v>
      </c>
      <c r="N27">
        <v>4266.17</v>
      </c>
    </row>
    <row r="28" spans="1:14" ht="13.8">
      <c r="A28" t="s">
        <v>116</v>
      </c>
      <c r="B28" s="21">
        <v>45735</v>
      </c>
      <c r="C28" t="s">
        <v>22</v>
      </c>
      <c r="D28" t="s">
        <v>82</v>
      </c>
      <c r="E28" t="s">
        <v>78</v>
      </c>
      <c r="F28" t="s">
        <v>32</v>
      </c>
      <c r="G28" t="s">
        <v>33</v>
      </c>
      <c r="H28" t="s">
        <v>43</v>
      </c>
      <c r="I28">
        <v>15</v>
      </c>
      <c r="J28">
        <v>74.739999999999995</v>
      </c>
      <c r="K28">
        <v>0.1</v>
      </c>
      <c r="L28">
        <v>1008.99</v>
      </c>
      <c r="M28">
        <v>637.84</v>
      </c>
      <c r="N28">
        <v>1088.06</v>
      </c>
    </row>
    <row r="29" spans="1:14" ht="13.8">
      <c r="A29" t="s">
        <v>117</v>
      </c>
      <c r="B29" s="21">
        <v>45737</v>
      </c>
      <c r="C29" t="s">
        <v>15</v>
      </c>
      <c r="D29" t="s">
        <v>64</v>
      </c>
      <c r="E29" t="s">
        <v>118</v>
      </c>
      <c r="F29" t="s">
        <v>25</v>
      </c>
      <c r="G29" t="s">
        <v>33</v>
      </c>
      <c r="H29" t="s">
        <v>42</v>
      </c>
      <c r="I29">
        <v>9</v>
      </c>
      <c r="J29">
        <v>57.79</v>
      </c>
      <c r="K29">
        <v>0</v>
      </c>
      <c r="L29">
        <v>520.11</v>
      </c>
      <c r="M29">
        <v>403.53</v>
      </c>
      <c r="N29">
        <v>548.37</v>
      </c>
    </row>
    <row r="30" spans="1:14" ht="13.8">
      <c r="A30" t="s">
        <v>119</v>
      </c>
      <c r="B30" s="21">
        <v>45880</v>
      </c>
      <c r="C30" t="s">
        <v>29</v>
      </c>
      <c r="D30" t="s">
        <v>64</v>
      </c>
      <c r="E30" t="s">
        <v>120</v>
      </c>
      <c r="F30" t="s">
        <v>32</v>
      </c>
      <c r="G30" t="s">
        <v>26</v>
      </c>
      <c r="H30" t="s">
        <v>39</v>
      </c>
      <c r="I30">
        <v>14</v>
      </c>
      <c r="J30">
        <v>228.23</v>
      </c>
      <c r="K30">
        <v>0</v>
      </c>
      <c r="L30">
        <v>3195.22</v>
      </c>
      <c r="M30">
        <v>2094.16</v>
      </c>
      <c r="N30">
        <v>3036.46</v>
      </c>
    </row>
    <row r="31" spans="1:14" ht="13.8">
      <c r="A31" t="s">
        <v>121</v>
      </c>
      <c r="B31" s="21">
        <v>45936</v>
      </c>
      <c r="C31" t="s">
        <v>22</v>
      </c>
      <c r="D31" t="s">
        <v>64</v>
      </c>
      <c r="E31" t="s">
        <v>115</v>
      </c>
      <c r="F31" t="s">
        <v>25</v>
      </c>
      <c r="G31" t="s">
        <v>33</v>
      </c>
      <c r="H31" t="s">
        <v>34</v>
      </c>
      <c r="I31">
        <v>14</v>
      </c>
      <c r="J31">
        <v>33.71</v>
      </c>
      <c r="K31">
        <v>0.1</v>
      </c>
      <c r="L31">
        <v>424.75</v>
      </c>
      <c r="M31">
        <v>287.91000000000003</v>
      </c>
      <c r="N31">
        <v>420.48</v>
      </c>
    </row>
    <row r="32" spans="1:14" ht="13.8">
      <c r="A32" t="s">
        <v>122</v>
      </c>
      <c r="B32" s="21">
        <v>45926</v>
      </c>
      <c r="C32" t="s">
        <v>29</v>
      </c>
      <c r="D32" t="s">
        <v>23</v>
      </c>
      <c r="E32" t="s">
        <v>69</v>
      </c>
      <c r="F32" t="s">
        <v>74</v>
      </c>
      <c r="G32" t="s">
        <v>33</v>
      </c>
      <c r="H32" t="s">
        <v>42</v>
      </c>
      <c r="I32">
        <v>1</v>
      </c>
      <c r="J32">
        <v>62.24</v>
      </c>
      <c r="K32">
        <v>0.02</v>
      </c>
      <c r="L32">
        <v>61</v>
      </c>
      <c r="M32">
        <v>44.77</v>
      </c>
      <c r="N32">
        <v>65.040000000000006</v>
      </c>
    </row>
    <row r="33" spans="1:14" ht="13.8">
      <c r="A33" t="s">
        <v>123</v>
      </c>
      <c r="B33" s="21">
        <v>45974</v>
      </c>
      <c r="C33" t="s">
        <v>22</v>
      </c>
      <c r="D33" t="s">
        <v>16</v>
      </c>
      <c r="E33" t="s">
        <v>124</v>
      </c>
      <c r="F33" t="s">
        <v>18</v>
      </c>
      <c r="G33" t="s">
        <v>45</v>
      </c>
      <c r="H33" t="s">
        <v>46</v>
      </c>
      <c r="I33">
        <v>2</v>
      </c>
      <c r="J33">
        <v>341.92</v>
      </c>
      <c r="K33">
        <v>0.03</v>
      </c>
      <c r="L33">
        <v>663.32</v>
      </c>
      <c r="M33">
        <v>497.56</v>
      </c>
      <c r="N33">
        <v>668.21</v>
      </c>
    </row>
    <row r="34" spans="1:14" ht="13.8">
      <c r="A34" t="s">
        <v>125</v>
      </c>
      <c r="B34" s="21">
        <v>45785</v>
      </c>
      <c r="C34" t="s">
        <v>15</v>
      </c>
      <c r="D34" t="s">
        <v>68</v>
      </c>
      <c r="E34" t="s">
        <v>120</v>
      </c>
      <c r="F34" t="s">
        <v>25</v>
      </c>
      <c r="G34" t="s">
        <v>26</v>
      </c>
      <c r="H34" t="s">
        <v>39</v>
      </c>
      <c r="I34">
        <v>5</v>
      </c>
      <c r="J34">
        <v>209.93</v>
      </c>
      <c r="K34">
        <v>0</v>
      </c>
      <c r="L34">
        <v>1049.6500000000001</v>
      </c>
      <c r="M34">
        <v>747.03</v>
      </c>
      <c r="N34">
        <v>1065.2</v>
      </c>
    </row>
    <row r="35" spans="1:14" ht="13.8">
      <c r="A35" t="s">
        <v>126</v>
      </c>
      <c r="B35" s="21">
        <v>46012</v>
      </c>
      <c r="C35" t="s">
        <v>67</v>
      </c>
      <c r="D35" t="s">
        <v>64</v>
      </c>
      <c r="E35" t="s">
        <v>127</v>
      </c>
      <c r="F35" t="s">
        <v>25</v>
      </c>
      <c r="G35" t="s">
        <v>26</v>
      </c>
      <c r="H35" t="s">
        <v>27</v>
      </c>
      <c r="I35">
        <v>8</v>
      </c>
      <c r="J35">
        <v>320.26</v>
      </c>
      <c r="K35">
        <v>0.05</v>
      </c>
      <c r="L35">
        <v>2433.98</v>
      </c>
      <c r="M35">
        <v>1732.28</v>
      </c>
      <c r="N35">
        <v>2286.5700000000002</v>
      </c>
    </row>
    <row r="36" spans="1:14" ht="13.8">
      <c r="A36" t="s">
        <v>128</v>
      </c>
      <c r="B36" s="21">
        <v>45887</v>
      </c>
      <c r="C36" t="s">
        <v>22</v>
      </c>
      <c r="D36" t="s">
        <v>16</v>
      </c>
      <c r="E36" t="s">
        <v>65</v>
      </c>
      <c r="F36" t="s">
        <v>32</v>
      </c>
      <c r="G36" t="s">
        <v>19</v>
      </c>
      <c r="H36" t="s">
        <v>38</v>
      </c>
      <c r="I36">
        <v>7</v>
      </c>
      <c r="J36">
        <v>914.05</v>
      </c>
      <c r="K36">
        <v>0.05</v>
      </c>
      <c r="L36">
        <v>6078.43</v>
      </c>
      <c r="M36">
        <v>4069.6</v>
      </c>
      <c r="N36">
        <v>6328.12</v>
      </c>
    </row>
    <row r="37" spans="1:14" ht="13.8">
      <c r="A37" t="s">
        <v>129</v>
      </c>
      <c r="B37" s="21">
        <v>45720</v>
      </c>
      <c r="C37" t="s">
        <v>29</v>
      </c>
      <c r="D37" t="s">
        <v>68</v>
      </c>
      <c r="E37" t="s">
        <v>106</v>
      </c>
      <c r="F37" t="s">
        <v>18</v>
      </c>
      <c r="G37" t="s">
        <v>45</v>
      </c>
      <c r="H37" t="s">
        <v>47</v>
      </c>
      <c r="I37">
        <v>3</v>
      </c>
      <c r="J37">
        <v>438.46</v>
      </c>
      <c r="K37">
        <v>0.1</v>
      </c>
      <c r="L37">
        <v>1183.8399999999999</v>
      </c>
      <c r="M37">
        <v>882.26</v>
      </c>
      <c r="N37">
        <v>1082.4000000000001</v>
      </c>
    </row>
    <row r="38" spans="1:14" ht="13.8">
      <c r="A38" t="s">
        <v>130</v>
      </c>
      <c r="B38" s="21">
        <v>45861</v>
      </c>
      <c r="C38" t="s">
        <v>22</v>
      </c>
      <c r="D38" t="s">
        <v>30</v>
      </c>
      <c r="E38" t="s">
        <v>131</v>
      </c>
      <c r="F38" t="s">
        <v>25</v>
      </c>
      <c r="G38" t="s">
        <v>33</v>
      </c>
      <c r="H38" t="s">
        <v>41</v>
      </c>
      <c r="I38">
        <v>3</v>
      </c>
      <c r="J38">
        <v>89.16</v>
      </c>
      <c r="K38">
        <v>0.02</v>
      </c>
      <c r="L38">
        <v>262.13</v>
      </c>
      <c r="M38">
        <v>166.59</v>
      </c>
      <c r="N38">
        <v>257.82</v>
      </c>
    </row>
    <row r="39" spans="1:14" ht="13.8">
      <c r="A39" t="s">
        <v>132</v>
      </c>
      <c r="B39" s="21">
        <v>45840</v>
      </c>
      <c r="C39" t="s">
        <v>15</v>
      </c>
      <c r="D39" t="s">
        <v>68</v>
      </c>
      <c r="E39" t="s">
        <v>133</v>
      </c>
      <c r="F39" t="s">
        <v>32</v>
      </c>
      <c r="G39" t="s">
        <v>26</v>
      </c>
      <c r="H39" t="s">
        <v>40</v>
      </c>
      <c r="I39">
        <v>2</v>
      </c>
      <c r="J39">
        <v>460</v>
      </c>
      <c r="K39">
        <v>0</v>
      </c>
      <c r="L39">
        <v>920</v>
      </c>
      <c r="M39">
        <v>620.41</v>
      </c>
      <c r="N39">
        <v>910.87</v>
      </c>
    </row>
    <row r="40" spans="1:14" ht="13.8">
      <c r="A40" t="s">
        <v>134</v>
      </c>
      <c r="B40" s="21">
        <v>45920</v>
      </c>
      <c r="C40" t="s">
        <v>67</v>
      </c>
      <c r="D40" t="s">
        <v>30</v>
      </c>
      <c r="E40" t="s">
        <v>135</v>
      </c>
      <c r="F40" t="s">
        <v>25</v>
      </c>
      <c r="G40" t="s">
        <v>19</v>
      </c>
      <c r="H40" t="s">
        <v>37</v>
      </c>
      <c r="I40">
        <v>2</v>
      </c>
      <c r="J40">
        <v>1153.3599999999999</v>
      </c>
      <c r="K40">
        <v>0.02</v>
      </c>
      <c r="L40">
        <v>2260.59</v>
      </c>
      <c r="M40">
        <v>1839.61</v>
      </c>
      <c r="N40">
        <v>2046.17</v>
      </c>
    </row>
    <row r="41" spans="1:14" ht="13.8">
      <c r="A41" t="s">
        <v>136</v>
      </c>
      <c r="B41" s="21">
        <v>45796</v>
      </c>
      <c r="C41" t="s">
        <v>29</v>
      </c>
      <c r="D41" t="s">
        <v>64</v>
      </c>
      <c r="E41" t="s">
        <v>137</v>
      </c>
      <c r="F41" t="s">
        <v>74</v>
      </c>
      <c r="G41" t="s">
        <v>45</v>
      </c>
      <c r="H41" t="s">
        <v>47</v>
      </c>
      <c r="I41">
        <v>3</v>
      </c>
      <c r="J41">
        <v>433.43</v>
      </c>
      <c r="K41">
        <v>0.1</v>
      </c>
      <c r="L41">
        <v>1170.26</v>
      </c>
      <c r="M41">
        <v>913.01</v>
      </c>
      <c r="N41">
        <v>1102.46</v>
      </c>
    </row>
    <row r="42" spans="1:14" ht="13.8">
      <c r="A42" t="s">
        <v>138</v>
      </c>
      <c r="B42" s="21">
        <v>46016</v>
      </c>
      <c r="C42" t="s">
        <v>67</v>
      </c>
      <c r="D42" t="s">
        <v>16</v>
      </c>
      <c r="E42" t="s">
        <v>139</v>
      </c>
      <c r="F42" t="s">
        <v>18</v>
      </c>
      <c r="G42" t="s">
        <v>26</v>
      </c>
      <c r="H42" t="s">
        <v>40</v>
      </c>
      <c r="I42">
        <v>2</v>
      </c>
      <c r="J42">
        <v>440.06</v>
      </c>
      <c r="K42">
        <v>0.1</v>
      </c>
      <c r="L42">
        <v>792.11</v>
      </c>
      <c r="M42">
        <v>507.22</v>
      </c>
      <c r="N42">
        <v>867.26</v>
      </c>
    </row>
    <row r="43" spans="1:14" ht="13.8">
      <c r="A43" t="s">
        <v>140</v>
      </c>
      <c r="B43" s="21">
        <v>45791</v>
      </c>
      <c r="C43" t="s">
        <v>15</v>
      </c>
      <c r="D43" t="s">
        <v>30</v>
      </c>
      <c r="E43" t="s">
        <v>141</v>
      </c>
      <c r="F43" t="s">
        <v>74</v>
      </c>
      <c r="G43" t="s">
        <v>19</v>
      </c>
      <c r="H43" t="s">
        <v>37</v>
      </c>
      <c r="I43">
        <v>10</v>
      </c>
      <c r="J43">
        <v>1139.19</v>
      </c>
      <c r="K43">
        <v>0</v>
      </c>
      <c r="L43">
        <v>11391.9</v>
      </c>
      <c r="M43">
        <v>7497.91</v>
      </c>
      <c r="N43">
        <v>10357.549999999999</v>
      </c>
    </row>
    <row r="44" spans="1:14" ht="13.8">
      <c r="A44" t="s">
        <v>142</v>
      </c>
      <c r="B44" s="21">
        <v>45795</v>
      </c>
      <c r="C44" t="s">
        <v>29</v>
      </c>
      <c r="D44" t="s">
        <v>30</v>
      </c>
      <c r="E44" t="s">
        <v>143</v>
      </c>
      <c r="F44" t="s">
        <v>25</v>
      </c>
      <c r="G44" t="s">
        <v>33</v>
      </c>
      <c r="H44" t="s">
        <v>43</v>
      </c>
      <c r="I44">
        <v>3</v>
      </c>
      <c r="J44">
        <v>71.569999999999993</v>
      </c>
      <c r="K44">
        <v>0.1</v>
      </c>
      <c r="L44">
        <v>193.24</v>
      </c>
      <c r="M44">
        <v>126.08</v>
      </c>
      <c r="N44">
        <v>175.13</v>
      </c>
    </row>
    <row r="45" spans="1:14" ht="13.8">
      <c r="A45" t="s">
        <v>144</v>
      </c>
      <c r="B45" s="21">
        <v>45761</v>
      </c>
      <c r="C45" t="s">
        <v>29</v>
      </c>
      <c r="D45" t="s">
        <v>30</v>
      </c>
      <c r="E45" t="s">
        <v>145</v>
      </c>
      <c r="F45" t="s">
        <v>18</v>
      </c>
      <c r="G45" t="s">
        <v>26</v>
      </c>
      <c r="H45" t="s">
        <v>27</v>
      </c>
      <c r="I45">
        <v>11</v>
      </c>
      <c r="J45">
        <v>313.76</v>
      </c>
      <c r="K45">
        <v>0.02</v>
      </c>
      <c r="L45">
        <v>3382.33</v>
      </c>
      <c r="M45">
        <v>2245.16</v>
      </c>
      <c r="N45">
        <v>3382.4</v>
      </c>
    </row>
    <row r="46" spans="1:14" ht="13.8">
      <c r="A46" t="s">
        <v>146</v>
      </c>
      <c r="B46" s="21">
        <v>45786</v>
      </c>
      <c r="C46" t="s">
        <v>22</v>
      </c>
      <c r="D46" t="s">
        <v>23</v>
      </c>
      <c r="E46" t="s">
        <v>78</v>
      </c>
      <c r="F46" t="s">
        <v>74</v>
      </c>
      <c r="G46" t="s">
        <v>19</v>
      </c>
      <c r="H46" t="s">
        <v>20</v>
      </c>
      <c r="I46">
        <v>1</v>
      </c>
      <c r="J46">
        <v>809.07</v>
      </c>
      <c r="K46">
        <v>0.08</v>
      </c>
      <c r="L46">
        <v>744.34</v>
      </c>
      <c r="M46">
        <v>536.84</v>
      </c>
      <c r="N46">
        <v>688.86</v>
      </c>
    </row>
    <row r="47" spans="1:14" ht="13.8">
      <c r="A47" t="s">
        <v>147</v>
      </c>
      <c r="B47" s="21">
        <v>45712</v>
      </c>
      <c r="C47" t="s">
        <v>22</v>
      </c>
      <c r="D47" t="s">
        <v>64</v>
      </c>
      <c r="E47" t="s">
        <v>148</v>
      </c>
      <c r="F47" t="s">
        <v>25</v>
      </c>
      <c r="G47" t="s">
        <v>45</v>
      </c>
      <c r="H47" t="s">
        <v>44</v>
      </c>
      <c r="I47">
        <v>14</v>
      </c>
      <c r="J47">
        <v>263.89999999999998</v>
      </c>
      <c r="K47">
        <v>0.1</v>
      </c>
      <c r="L47">
        <v>3325.14</v>
      </c>
      <c r="M47">
        <v>2357.19</v>
      </c>
      <c r="N47">
        <v>3592.17</v>
      </c>
    </row>
    <row r="48" spans="1:14" ht="13.8">
      <c r="A48" t="s">
        <v>149</v>
      </c>
      <c r="B48" s="21">
        <v>45775</v>
      </c>
      <c r="C48" t="s">
        <v>67</v>
      </c>
      <c r="D48" t="s">
        <v>16</v>
      </c>
      <c r="E48" t="s">
        <v>150</v>
      </c>
      <c r="F48" t="s">
        <v>25</v>
      </c>
      <c r="G48" t="s">
        <v>26</v>
      </c>
      <c r="H48" t="s">
        <v>40</v>
      </c>
      <c r="I48">
        <v>4</v>
      </c>
      <c r="J48">
        <v>464.95</v>
      </c>
      <c r="K48">
        <v>0.1</v>
      </c>
      <c r="L48">
        <v>1673.82</v>
      </c>
      <c r="M48">
        <v>1272.68</v>
      </c>
      <c r="N48">
        <v>1529.09</v>
      </c>
    </row>
    <row r="49" spans="1:14" ht="13.8">
      <c r="A49" t="s">
        <v>151</v>
      </c>
      <c r="B49" s="21">
        <v>45665</v>
      </c>
      <c r="C49" t="s">
        <v>22</v>
      </c>
      <c r="D49" t="s">
        <v>64</v>
      </c>
      <c r="E49" t="s">
        <v>83</v>
      </c>
      <c r="F49" t="s">
        <v>32</v>
      </c>
      <c r="G49" t="s">
        <v>19</v>
      </c>
      <c r="H49" t="s">
        <v>37</v>
      </c>
      <c r="I49">
        <v>11</v>
      </c>
      <c r="J49">
        <v>1126.5</v>
      </c>
      <c r="K49">
        <v>0.03</v>
      </c>
      <c r="L49">
        <v>12019.75</v>
      </c>
      <c r="M49">
        <v>8350.8799999999992</v>
      </c>
      <c r="N49">
        <v>10737.2</v>
      </c>
    </row>
    <row r="50" spans="1:14" ht="13.8">
      <c r="A50" t="s">
        <v>152</v>
      </c>
      <c r="B50" s="21">
        <v>45964</v>
      </c>
      <c r="C50" t="s">
        <v>15</v>
      </c>
      <c r="D50" t="s">
        <v>30</v>
      </c>
      <c r="E50" t="s">
        <v>153</v>
      </c>
      <c r="F50" t="s">
        <v>32</v>
      </c>
      <c r="G50" t="s">
        <v>26</v>
      </c>
      <c r="H50" t="s">
        <v>39</v>
      </c>
      <c r="I50">
        <v>12</v>
      </c>
      <c r="J50">
        <v>215.45</v>
      </c>
      <c r="K50">
        <v>0.05</v>
      </c>
      <c r="L50">
        <v>2456.13</v>
      </c>
      <c r="M50">
        <v>1573.83</v>
      </c>
      <c r="N50">
        <v>2319.98</v>
      </c>
    </row>
    <row r="51" spans="1:14" ht="13.8">
      <c r="A51" t="s">
        <v>154</v>
      </c>
      <c r="B51" s="21">
        <v>45938</v>
      </c>
      <c r="C51" t="s">
        <v>67</v>
      </c>
      <c r="D51" t="s">
        <v>68</v>
      </c>
      <c r="E51" t="s">
        <v>91</v>
      </c>
      <c r="F51" t="s">
        <v>74</v>
      </c>
      <c r="G51" t="s">
        <v>26</v>
      </c>
      <c r="H51" t="s">
        <v>40</v>
      </c>
      <c r="I51">
        <v>4</v>
      </c>
      <c r="J51">
        <v>429.05</v>
      </c>
      <c r="K51">
        <v>0.03</v>
      </c>
      <c r="L51">
        <v>1664.71</v>
      </c>
      <c r="M51">
        <v>1078.6199999999999</v>
      </c>
      <c r="N51">
        <v>1538.04</v>
      </c>
    </row>
    <row r="52" spans="1:14" ht="13.8">
      <c r="A52" t="s">
        <v>155</v>
      </c>
      <c r="B52" s="21">
        <v>45800</v>
      </c>
      <c r="C52" t="s">
        <v>15</v>
      </c>
      <c r="D52" t="s">
        <v>23</v>
      </c>
      <c r="E52" t="s">
        <v>156</v>
      </c>
      <c r="F52" t="s">
        <v>18</v>
      </c>
      <c r="G52" t="s">
        <v>33</v>
      </c>
      <c r="H52" t="s">
        <v>42</v>
      </c>
      <c r="I52">
        <v>11</v>
      </c>
      <c r="J52">
        <v>58.21</v>
      </c>
      <c r="K52">
        <v>0.08</v>
      </c>
      <c r="L52">
        <v>589.09</v>
      </c>
      <c r="M52">
        <v>454.05</v>
      </c>
      <c r="N52">
        <v>531.24</v>
      </c>
    </row>
    <row r="53" spans="1:14" ht="13.8">
      <c r="A53" t="s">
        <v>157</v>
      </c>
      <c r="B53" s="21">
        <v>45859</v>
      </c>
      <c r="C53" t="s">
        <v>29</v>
      </c>
      <c r="D53" t="s">
        <v>82</v>
      </c>
      <c r="E53" t="s">
        <v>127</v>
      </c>
      <c r="F53" t="s">
        <v>74</v>
      </c>
      <c r="G53" t="s">
        <v>19</v>
      </c>
      <c r="H53" t="s">
        <v>20</v>
      </c>
      <c r="I53">
        <v>5</v>
      </c>
      <c r="J53">
        <v>833.36</v>
      </c>
      <c r="K53">
        <v>0.02</v>
      </c>
      <c r="L53">
        <v>4083.46</v>
      </c>
      <c r="M53">
        <v>2525.9699999999998</v>
      </c>
      <c r="N53">
        <v>4531.96</v>
      </c>
    </row>
    <row r="54" spans="1:14" ht="13.8">
      <c r="A54" t="s">
        <v>158</v>
      </c>
      <c r="B54" s="21">
        <v>45824</v>
      </c>
      <c r="C54" t="s">
        <v>22</v>
      </c>
      <c r="D54" t="s">
        <v>82</v>
      </c>
      <c r="E54" t="s">
        <v>159</v>
      </c>
      <c r="F54" t="s">
        <v>25</v>
      </c>
      <c r="G54" t="s">
        <v>45</v>
      </c>
      <c r="H54" t="s">
        <v>46</v>
      </c>
      <c r="I54">
        <v>8</v>
      </c>
      <c r="J54">
        <v>328.08</v>
      </c>
      <c r="K54">
        <v>0.1</v>
      </c>
      <c r="L54">
        <v>2362.1799999999998</v>
      </c>
      <c r="M54">
        <v>1738.84</v>
      </c>
      <c r="N54">
        <v>2160.7800000000002</v>
      </c>
    </row>
    <row r="55" spans="1:14" ht="13.8">
      <c r="A55" t="s">
        <v>160</v>
      </c>
      <c r="B55" s="21">
        <v>45926</v>
      </c>
      <c r="C55" t="s">
        <v>29</v>
      </c>
      <c r="D55" t="s">
        <v>16</v>
      </c>
      <c r="E55" t="s">
        <v>98</v>
      </c>
      <c r="F55" t="s">
        <v>18</v>
      </c>
      <c r="G55" t="s">
        <v>45</v>
      </c>
      <c r="H55" t="s">
        <v>47</v>
      </c>
      <c r="I55">
        <v>9</v>
      </c>
      <c r="J55">
        <v>422.88</v>
      </c>
      <c r="K55">
        <v>0</v>
      </c>
      <c r="L55">
        <v>3805.92</v>
      </c>
      <c r="M55">
        <v>2975.51</v>
      </c>
      <c r="N55">
        <v>3882.7</v>
      </c>
    </row>
    <row r="56" spans="1:14" ht="13.8">
      <c r="A56" t="s">
        <v>161</v>
      </c>
      <c r="B56" s="21">
        <v>45726</v>
      </c>
      <c r="C56" t="s">
        <v>15</v>
      </c>
      <c r="D56" t="s">
        <v>82</v>
      </c>
      <c r="E56" t="s">
        <v>162</v>
      </c>
      <c r="F56" t="s">
        <v>25</v>
      </c>
      <c r="G56" t="s">
        <v>45</v>
      </c>
      <c r="H56" t="s">
        <v>44</v>
      </c>
      <c r="I56">
        <v>6</v>
      </c>
      <c r="J56">
        <v>271.95</v>
      </c>
      <c r="K56">
        <v>0.05</v>
      </c>
      <c r="L56">
        <v>1550.11</v>
      </c>
      <c r="M56">
        <v>1215.0999999999999</v>
      </c>
      <c r="N56">
        <v>1571.88</v>
      </c>
    </row>
    <row r="57" spans="1:14" ht="13.8">
      <c r="A57" t="s">
        <v>163</v>
      </c>
      <c r="B57" s="21">
        <v>45908</v>
      </c>
      <c r="C57" t="s">
        <v>15</v>
      </c>
      <c r="D57" t="s">
        <v>82</v>
      </c>
      <c r="E57" t="s">
        <v>164</v>
      </c>
      <c r="F57" t="s">
        <v>18</v>
      </c>
      <c r="G57" t="s">
        <v>26</v>
      </c>
      <c r="H57" t="s">
        <v>27</v>
      </c>
      <c r="I57">
        <v>1</v>
      </c>
      <c r="J57">
        <v>318.62</v>
      </c>
      <c r="K57">
        <v>0</v>
      </c>
      <c r="L57">
        <v>318.62</v>
      </c>
      <c r="M57">
        <v>243.62</v>
      </c>
      <c r="N57">
        <v>318.85000000000002</v>
      </c>
    </row>
    <row r="58" spans="1:14" ht="13.8">
      <c r="A58" t="s">
        <v>165</v>
      </c>
      <c r="B58" s="21">
        <v>45900</v>
      </c>
      <c r="C58" t="s">
        <v>29</v>
      </c>
      <c r="D58" t="s">
        <v>82</v>
      </c>
      <c r="E58" t="s">
        <v>166</v>
      </c>
      <c r="F58" t="s">
        <v>74</v>
      </c>
      <c r="G58" t="s">
        <v>26</v>
      </c>
      <c r="H58" t="s">
        <v>27</v>
      </c>
      <c r="I58">
        <v>13</v>
      </c>
      <c r="J58">
        <v>306.38</v>
      </c>
      <c r="K58">
        <v>0.03</v>
      </c>
      <c r="L58">
        <v>3863.45</v>
      </c>
      <c r="M58">
        <v>2517.63</v>
      </c>
      <c r="N58">
        <v>4101.2299999999996</v>
      </c>
    </row>
    <row r="59" spans="1:14" ht="13.8">
      <c r="A59" t="s">
        <v>167</v>
      </c>
      <c r="B59" s="21">
        <v>45910</v>
      </c>
      <c r="C59" t="s">
        <v>29</v>
      </c>
      <c r="D59" t="s">
        <v>16</v>
      </c>
      <c r="E59" t="s">
        <v>168</v>
      </c>
      <c r="F59" t="s">
        <v>25</v>
      </c>
      <c r="G59" t="s">
        <v>33</v>
      </c>
      <c r="H59" t="s">
        <v>34</v>
      </c>
      <c r="I59">
        <v>2</v>
      </c>
      <c r="J59">
        <v>34.93</v>
      </c>
      <c r="K59">
        <v>0.1</v>
      </c>
      <c r="L59">
        <v>62.87</v>
      </c>
      <c r="M59">
        <v>41.7</v>
      </c>
      <c r="N59">
        <v>56.03</v>
      </c>
    </row>
    <row r="60" spans="1:14" ht="13.8">
      <c r="A60" t="s">
        <v>169</v>
      </c>
      <c r="B60" s="21">
        <v>45827</v>
      </c>
      <c r="C60" t="s">
        <v>22</v>
      </c>
      <c r="D60" t="s">
        <v>16</v>
      </c>
      <c r="E60" t="s">
        <v>170</v>
      </c>
      <c r="F60" t="s">
        <v>32</v>
      </c>
      <c r="G60" t="s">
        <v>26</v>
      </c>
      <c r="H60" t="s">
        <v>27</v>
      </c>
      <c r="I60">
        <v>11</v>
      </c>
      <c r="J60">
        <v>327.78</v>
      </c>
      <c r="K60">
        <v>0.03</v>
      </c>
      <c r="L60">
        <v>3497.41</v>
      </c>
      <c r="M60">
        <v>2576.38</v>
      </c>
      <c r="N60">
        <v>3189.73</v>
      </c>
    </row>
    <row r="61" spans="1:14" ht="13.8">
      <c r="A61" t="s">
        <v>171</v>
      </c>
      <c r="B61" s="21">
        <v>46002</v>
      </c>
      <c r="C61" t="s">
        <v>22</v>
      </c>
      <c r="D61" t="s">
        <v>68</v>
      </c>
      <c r="E61" t="s">
        <v>172</v>
      </c>
      <c r="F61" t="s">
        <v>18</v>
      </c>
      <c r="G61" t="s">
        <v>19</v>
      </c>
      <c r="H61" t="s">
        <v>37</v>
      </c>
      <c r="I61">
        <v>12</v>
      </c>
      <c r="J61">
        <v>1068.95</v>
      </c>
      <c r="K61">
        <v>0.05</v>
      </c>
      <c r="L61">
        <v>12186.03</v>
      </c>
      <c r="M61">
        <v>8091.38</v>
      </c>
      <c r="N61">
        <v>12234.39</v>
      </c>
    </row>
    <row r="62" spans="1:14" ht="13.8">
      <c r="A62" t="s">
        <v>173</v>
      </c>
      <c r="B62" s="21">
        <v>45939</v>
      </c>
      <c r="C62" t="s">
        <v>22</v>
      </c>
      <c r="D62" t="s">
        <v>30</v>
      </c>
      <c r="E62" t="s">
        <v>85</v>
      </c>
      <c r="F62" t="s">
        <v>25</v>
      </c>
      <c r="G62" t="s">
        <v>26</v>
      </c>
      <c r="H62" t="s">
        <v>39</v>
      </c>
      <c r="I62">
        <v>5</v>
      </c>
      <c r="J62">
        <v>230.52</v>
      </c>
      <c r="K62">
        <v>0.05</v>
      </c>
      <c r="L62">
        <v>1094.97</v>
      </c>
      <c r="M62">
        <v>661.2</v>
      </c>
      <c r="N62">
        <v>1084.19</v>
      </c>
    </row>
    <row r="63" spans="1:14" ht="13.8">
      <c r="A63" t="s">
        <v>174</v>
      </c>
      <c r="B63" s="21">
        <v>45765</v>
      </c>
      <c r="C63" t="s">
        <v>29</v>
      </c>
      <c r="D63" t="s">
        <v>64</v>
      </c>
      <c r="E63" t="s">
        <v>89</v>
      </c>
      <c r="F63" t="s">
        <v>32</v>
      </c>
      <c r="G63" t="s">
        <v>19</v>
      </c>
      <c r="H63" t="s">
        <v>37</v>
      </c>
      <c r="I63">
        <v>10</v>
      </c>
      <c r="J63">
        <v>1054.93</v>
      </c>
      <c r="K63">
        <v>0.1</v>
      </c>
      <c r="L63">
        <v>9494.3700000000008</v>
      </c>
      <c r="M63">
        <v>6791.27</v>
      </c>
      <c r="N63">
        <v>10526.01</v>
      </c>
    </row>
    <row r="64" spans="1:14" ht="13.8">
      <c r="A64" t="s">
        <v>175</v>
      </c>
      <c r="B64" s="21">
        <v>45715</v>
      </c>
      <c r="C64" t="s">
        <v>22</v>
      </c>
      <c r="D64" t="s">
        <v>82</v>
      </c>
      <c r="E64" t="s">
        <v>176</v>
      </c>
      <c r="F64" t="s">
        <v>74</v>
      </c>
      <c r="G64" t="s">
        <v>45</v>
      </c>
      <c r="H64" t="s">
        <v>46</v>
      </c>
      <c r="I64">
        <v>6</v>
      </c>
      <c r="J64">
        <v>330.87</v>
      </c>
      <c r="K64">
        <v>0.05</v>
      </c>
      <c r="L64">
        <v>1885.96</v>
      </c>
      <c r="M64">
        <v>1295.08</v>
      </c>
      <c r="N64">
        <v>1731.64</v>
      </c>
    </row>
    <row r="65" spans="1:14" ht="13.8">
      <c r="A65" t="s">
        <v>177</v>
      </c>
      <c r="B65" s="21">
        <v>45812</v>
      </c>
      <c r="C65" t="s">
        <v>15</v>
      </c>
      <c r="D65" t="s">
        <v>30</v>
      </c>
      <c r="E65" t="s">
        <v>178</v>
      </c>
      <c r="F65" t="s">
        <v>32</v>
      </c>
      <c r="G65" t="s">
        <v>45</v>
      </c>
      <c r="H65" t="s">
        <v>46</v>
      </c>
      <c r="I65">
        <v>3</v>
      </c>
      <c r="J65">
        <v>337.15</v>
      </c>
      <c r="K65">
        <v>0.05</v>
      </c>
      <c r="L65">
        <v>960.88</v>
      </c>
      <c r="M65">
        <v>643.34</v>
      </c>
      <c r="N65">
        <v>1039.3399999999999</v>
      </c>
    </row>
    <row r="66" spans="1:14" ht="13.8">
      <c r="A66" t="s">
        <v>179</v>
      </c>
      <c r="B66" s="21">
        <v>45861</v>
      </c>
      <c r="C66" t="s">
        <v>67</v>
      </c>
      <c r="D66" t="s">
        <v>16</v>
      </c>
      <c r="E66" t="s">
        <v>180</v>
      </c>
      <c r="F66" t="s">
        <v>74</v>
      </c>
      <c r="G66" t="s">
        <v>19</v>
      </c>
      <c r="H66" t="s">
        <v>37</v>
      </c>
      <c r="I66">
        <v>15</v>
      </c>
      <c r="J66">
        <v>1066.53</v>
      </c>
      <c r="K66">
        <v>0</v>
      </c>
      <c r="L66">
        <v>15997.95</v>
      </c>
      <c r="M66">
        <v>12771.88</v>
      </c>
      <c r="N66">
        <v>15191.01</v>
      </c>
    </row>
    <row r="67" spans="1:14" ht="13.8">
      <c r="A67" t="s">
        <v>181</v>
      </c>
      <c r="B67" s="21">
        <v>45959</v>
      </c>
      <c r="C67" t="s">
        <v>15</v>
      </c>
      <c r="D67" t="s">
        <v>82</v>
      </c>
      <c r="E67" t="s">
        <v>182</v>
      </c>
      <c r="F67" t="s">
        <v>25</v>
      </c>
      <c r="G67" t="s">
        <v>19</v>
      </c>
      <c r="H67" t="s">
        <v>37</v>
      </c>
      <c r="I67">
        <v>6</v>
      </c>
      <c r="J67">
        <v>1146.8</v>
      </c>
      <c r="K67">
        <v>0.03</v>
      </c>
      <c r="L67">
        <v>6674.38</v>
      </c>
      <c r="M67">
        <v>5258.99</v>
      </c>
      <c r="N67">
        <v>6322.99</v>
      </c>
    </row>
    <row r="68" spans="1:14" ht="13.8">
      <c r="A68" t="s">
        <v>183</v>
      </c>
      <c r="B68" s="21">
        <v>45785</v>
      </c>
      <c r="C68" t="s">
        <v>22</v>
      </c>
      <c r="D68" t="s">
        <v>16</v>
      </c>
      <c r="E68" t="s">
        <v>184</v>
      </c>
      <c r="F68" t="s">
        <v>74</v>
      </c>
      <c r="G68" t="s">
        <v>26</v>
      </c>
      <c r="H68" t="s">
        <v>27</v>
      </c>
      <c r="I68">
        <v>7</v>
      </c>
      <c r="J68">
        <v>320.35000000000002</v>
      </c>
      <c r="K68">
        <v>0.02</v>
      </c>
      <c r="L68">
        <v>2197.6</v>
      </c>
      <c r="M68">
        <v>1692.37</v>
      </c>
      <c r="N68">
        <v>2347.9899999999998</v>
      </c>
    </row>
    <row r="69" spans="1:14" ht="13.8">
      <c r="A69" t="s">
        <v>185</v>
      </c>
      <c r="B69" s="21">
        <v>45941</v>
      </c>
      <c r="C69" t="s">
        <v>29</v>
      </c>
      <c r="D69" t="s">
        <v>82</v>
      </c>
      <c r="E69" t="s">
        <v>186</v>
      </c>
      <c r="F69" t="s">
        <v>32</v>
      </c>
      <c r="G69" t="s">
        <v>33</v>
      </c>
      <c r="H69" t="s">
        <v>42</v>
      </c>
      <c r="I69">
        <v>4</v>
      </c>
      <c r="J69">
        <v>61.32</v>
      </c>
      <c r="K69">
        <v>0</v>
      </c>
      <c r="L69">
        <v>245.28</v>
      </c>
      <c r="M69">
        <v>197.54</v>
      </c>
      <c r="N69">
        <v>240.03</v>
      </c>
    </row>
    <row r="70" spans="1:14" ht="13.8">
      <c r="A70" t="s">
        <v>187</v>
      </c>
      <c r="B70" s="21">
        <v>45906</v>
      </c>
      <c r="C70" t="s">
        <v>67</v>
      </c>
      <c r="D70" t="s">
        <v>30</v>
      </c>
      <c r="E70" t="s">
        <v>188</v>
      </c>
      <c r="F70" t="s">
        <v>32</v>
      </c>
      <c r="G70" t="s">
        <v>19</v>
      </c>
      <c r="H70" t="s">
        <v>20</v>
      </c>
      <c r="I70">
        <v>15</v>
      </c>
      <c r="J70">
        <v>886.28</v>
      </c>
      <c r="K70">
        <v>0.02</v>
      </c>
      <c r="L70">
        <v>13028.32</v>
      </c>
      <c r="M70">
        <v>8306.44</v>
      </c>
      <c r="N70">
        <v>12762.13</v>
      </c>
    </row>
    <row r="71" spans="1:14" ht="13.8">
      <c r="A71" t="s">
        <v>189</v>
      </c>
      <c r="B71" s="21">
        <v>45865</v>
      </c>
      <c r="C71" t="s">
        <v>29</v>
      </c>
      <c r="D71" t="s">
        <v>16</v>
      </c>
      <c r="E71" t="s">
        <v>190</v>
      </c>
      <c r="F71" t="s">
        <v>74</v>
      </c>
      <c r="G71" t="s">
        <v>45</v>
      </c>
      <c r="H71" t="s">
        <v>44</v>
      </c>
      <c r="I71">
        <v>4</v>
      </c>
      <c r="J71">
        <v>254.82</v>
      </c>
      <c r="K71">
        <v>0.08</v>
      </c>
      <c r="L71">
        <v>937.74</v>
      </c>
      <c r="M71">
        <v>700.63</v>
      </c>
      <c r="N71">
        <v>852.16</v>
      </c>
    </row>
    <row r="72" spans="1:14" ht="13.8">
      <c r="A72" t="s">
        <v>191</v>
      </c>
      <c r="B72" s="21">
        <v>45939</v>
      </c>
      <c r="C72" t="s">
        <v>29</v>
      </c>
      <c r="D72" t="s">
        <v>16</v>
      </c>
      <c r="E72" t="s">
        <v>192</v>
      </c>
      <c r="F72" t="s">
        <v>32</v>
      </c>
      <c r="G72" t="s">
        <v>26</v>
      </c>
      <c r="H72" t="s">
        <v>39</v>
      </c>
      <c r="I72">
        <v>8</v>
      </c>
      <c r="J72">
        <v>228.94</v>
      </c>
      <c r="K72">
        <v>0.05</v>
      </c>
      <c r="L72">
        <v>1739.94</v>
      </c>
      <c r="M72">
        <v>1207.58</v>
      </c>
      <c r="N72">
        <v>1759.89</v>
      </c>
    </row>
    <row r="73" spans="1:14" ht="13.8">
      <c r="A73" t="s">
        <v>193</v>
      </c>
      <c r="B73" s="21">
        <v>45942</v>
      </c>
      <c r="C73" t="s">
        <v>15</v>
      </c>
      <c r="D73" t="s">
        <v>82</v>
      </c>
      <c r="E73" t="s">
        <v>186</v>
      </c>
      <c r="F73" t="s">
        <v>74</v>
      </c>
      <c r="G73" t="s">
        <v>19</v>
      </c>
      <c r="H73" t="s">
        <v>37</v>
      </c>
      <c r="I73">
        <v>6</v>
      </c>
      <c r="J73">
        <v>1071.3</v>
      </c>
      <c r="K73">
        <v>0.03</v>
      </c>
      <c r="L73">
        <v>6234.97</v>
      </c>
      <c r="M73">
        <v>4851.17</v>
      </c>
      <c r="N73">
        <v>5789.26</v>
      </c>
    </row>
    <row r="74" spans="1:14" ht="13.8">
      <c r="A74" t="s">
        <v>194</v>
      </c>
      <c r="B74" s="21">
        <v>45854</v>
      </c>
      <c r="C74" t="s">
        <v>22</v>
      </c>
      <c r="D74" t="s">
        <v>30</v>
      </c>
      <c r="E74" t="s">
        <v>195</v>
      </c>
      <c r="F74" t="s">
        <v>32</v>
      </c>
      <c r="G74" t="s">
        <v>33</v>
      </c>
      <c r="H74" t="s">
        <v>34</v>
      </c>
      <c r="I74">
        <v>12</v>
      </c>
      <c r="J74">
        <v>35.08</v>
      </c>
      <c r="K74">
        <v>0.05</v>
      </c>
      <c r="L74">
        <v>399.91</v>
      </c>
      <c r="M74">
        <v>263.72000000000003</v>
      </c>
      <c r="N74">
        <v>424.11</v>
      </c>
    </row>
    <row r="75" spans="1:14" ht="13.8">
      <c r="A75" t="s">
        <v>196</v>
      </c>
      <c r="B75" s="21">
        <v>45722</v>
      </c>
      <c r="C75" t="s">
        <v>22</v>
      </c>
      <c r="D75" t="s">
        <v>68</v>
      </c>
      <c r="E75" t="s">
        <v>197</v>
      </c>
      <c r="F75" t="s">
        <v>74</v>
      </c>
      <c r="G75" t="s">
        <v>45</v>
      </c>
      <c r="H75" t="s">
        <v>44</v>
      </c>
      <c r="I75">
        <v>9</v>
      </c>
      <c r="J75">
        <v>260.76</v>
      </c>
      <c r="K75">
        <v>0.02</v>
      </c>
      <c r="L75">
        <v>2299.9</v>
      </c>
      <c r="M75">
        <v>1426.79</v>
      </c>
      <c r="N75">
        <v>2518.92</v>
      </c>
    </row>
    <row r="76" spans="1:14" ht="13.8">
      <c r="A76" t="s">
        <v>198</v>
      </c>
      <c r="B76" s="21">
        <v>45879</v>
      </c>
      <c r="C76" t="s">
        <v>22</v>
      </c>
      <c r="D76" t="s">
        <v>64</v>
      </c>
      <c r="E76" t="s">
        <v>170</v>
      </c>
      <c r="F76" t="s">
        <v>18</v>
      </c>
      <c r="G76" t="s">
        <v>26</v>
      </c>
      <c r="H76" t="s">
        <v>27</v>
      </c>
      <c r="I76">
        <v>14</v>
      </c>
      <c r="J76">
        <v>330.06</v>
      </c>
      <c r="K76">
        <v>0</v>
      </c>
      <c r="L76">
        <v>4620.84</v>
      </c>
      <c r="M76">
        <v>2901.86</v>
      </c>
      <c r="N76">
        <v>4537.8900000000003</v>
      </c>
    </row>
    <row r="77" spans="1:14" ht="13.8">
      <c r="A77" t="s">
        <v>199</v>
      </c>
      <c r="B77" s="21">
        <v>45695</v>
      </c>
      <c r="C77" t="s">
        <v>29</v>
      </c>
      <c r="D77" t="s">
        <v>16</v>
      </c>
      <c r="E77" t="s">
        <v>106</v>
      </c>
      <c r="F77" t="s">
        <v>25</v>
      </c>
      <c r="G77" t="s">
        <v>33</v>
      </c>
      <c r="H77" t="s">
        <v>34</v>
      </c>
      <c r="I77">
        <v>15</v>
      </c>
      <c r="J77">
        <v>36.49</v>
      </c>
      <c r="K77">
        <v>0.08</v>
      </c>
      <c r="L77">
        <v>503.56</v>
      </c>
      <c r="M77">
        <v>396.91</v>
      </c>
      <c r="N77">
        <v>560.63</v>
      </c>
    </row>
    <row r="78" spans="1:14" ht="13.8">
      <c r="A78" t="s">
        <v>200</v>
      </c>
      <c r="B78" s="21">
        <v>45735</v>
      </c>
      <c r="C78" t="s">
        <v>22</v>
      </c>
      <c r="D78" t="s">
        <v>16</v>
      </c>
      <c r="E78" t="s">
        <v>141</v>
      </c>
      <c r="F78" t="s">
        <v>18</v>
      </c>
      <c r="G78" t="s">
        <v>33</v>
      </c>
      <c r="H78" t="s">
        <v>42</v>
      </c>
      <c r="I78">
        <v>11</v>
      </c>
      <c r="J78">
        <v>57.65</v>
      </c>
      <c r="K78">
        <v>0.1</v>
      </c>
      <c r="L78">
        <v>570.74</v>
      </c>
      <c r="M78">
        <v>430.46</v>
      </c>
      <c r="N78">
        <v>618.20000000000005</v>
      </c>
    </row>
    <row r="79" spans="1:14" ht="13.8">
      <c r="A79" t="s">
        <v>201</v>
      </c>
      <c r="B79" s="21">
        <v>45658</v>
      </c>
      <c r="C79" t="s">
        <v>29</v>
      </c>
      <c r="D79" t="s">
        <v>82</v>
      </c>
      <c r="E79" t="s">
        <v>188</v>
      </c>
      <c r="F79" t="s">
        <v>74</v>
      </c>
      <c r="G79" t="s">
        <v>45</v>
      </c>
      <c r="H79" t="s">
        <v>47</v>
      </c>
      <c r="I79">
        <v>3</v>
      </c>
      <c r="J79">
        <v>408.77</v>
      </c>
      <c r="K79">
        <v>0</v>
      </c>
      <c r="L79">
        <v>1226.31</v>
      </c>
      <c r="M79">
        <v>909.94</v>
      </c>
      <c r="N79">
        <v>1168.56</v>
      </c>
    </row>
    <row r="80" spans="1:14" ht="13.8">
      <c r="A80" t="s">
        <v>202</v>
      </c>
      <c r="B80" s="21">
        <v>46015</v>
      </c>
      <c r="C80" t="s">
        <v>22</v>
      </c>
      <c r="D80" t="s">
        <v>30</v>
      </c>
      <c r="E80" t="s">
        <v>106</v>
      </c>
      <c r="F80" t="s">
        <v>18</v>
      </c>
      <c r="G80" t="s">
        <v>45</v>
      </c>
      <c r="H80" t="s">
        <v>47</v>
      </c>
      <c r="I80">
        <v>2</v>
      </c>
      <c r="J80">
        <v>403.18</v>
      </c>
      <c r="K80">
        <v>0.03</v>
      </c>
      <c r="L80">
        <v>782.17</v>
      </c>
      <c r="M80">
        <v>559.54999999999995</v>
      </c>
      <c r="N80">
        <v>797.73</v>
      </c>
    </row>
    <row r="81" spans="1:14" ht="13.8">
      <c r="A81" t="s">
        <v>203</v>
      </c>
      <c r="B81" s="21">
        <v>45663</v>
      </c>
      <c r="C81" t="s">
        <v>29</v>
      </c>
      <c r="D81" t="s">
        <v>68</v>
      </c>
      <c r="E81" t="s">
        <v>164</v>
      </c>
      <c r="F81" t="s">
        <v>25</v>
      </c>
      <c r="G81" t="s">
        <v>33</v>
      </c>
      <c r="H81" t="s">
        <v>42</v>
      </c>
      <c r="I81">
        <v>5</v>
      </c>
      <c r="J81">
        <v>62.98</v>
      </c>
      <c r="K81">
        <v>0.03</v>
      </c>
      <c r="L81">
        <v>305.45</v>
      </c>
      <c r="M81">
        <v>247.71</v>
      </c>
      <c r="N81">
        <v>316.05</v>
      </c>
    </row>
    <row r="82" spans="1:14" ht="13.8">
      <c r="A82" t="s">
        <v>204</v>
      </c>
      <c r="B82" s="21">
        <v>45938</v>
      </c>
      <c r="C82" t="s">
        <v>29</v>
      </c>
      <c r="D82" t="s">
        <v>68</v>
      </c>
      <c r="E82" t="s">
        <v>124</v>
      </c>
      <c r="F82" t="s">
        <v>74</v>
      </c>
      <c r="G82" t="s">
        <v>26</v>
      </c>
      <c r="H82" t="s">
        <v>39</v>
      </c>
      <c r="I82">
        <v>1</v>
      </c>
      <c r="J82">
        <v>230.13</v>
      </c>
      <c r="K82">
        <v>0.1</v>
      </c>
      <c r="L82">
        <v>207.12</v>
      </c>
      <c r="M82">
        <v>153.87</v>
      </c>
      <c r="N82">
        <v>185.01</v>
      </c>
    </row>
    <row r="83" spans="1:14" ht="13.8">
      <c r="A83" t="s">
        <v>205</v>
      </c>
      <c r="B83" s="21">
        <v>45699</v>
      </c>
      <c r="C83" t="s">
        <v>67</v>
      </c>
      <c r="D83" t="s">
        <v>82</v>
      </c>
      <c r="E83" t="s">
        <v>131</v>
      </c>
      <c r="F83" t="s">
        <v>32</v>
      </c>
      <c r="G83" t="s">
        <v>26</v>
      </c>
      <c r="H83" t="s">
        <v>27</v>
      </c>
      <c r="I83">
        <v>4</v>
      </c>
      <c r="J83">
        <v>325.36</v>
      </c>
      <c r="K83">
        <v>0.03</v>
      </c>
      <c r="L83">
        <v>1262.4000000000001</v>
      </c>
      <c r="M83">
        <v>820.42</v>
      </c>
      <c r="N83">
        <v>1121.24</v>
      </c>
    </row>
    <row r="84" spans="1:14" ht="13.8">
      <c r="A84" t="s">
        <v>206</v>
      </c>
      <c r="B84" s="21">
        <v>46007</v>
      </c>
      <c r="C84" t="s">
        <v>29</v>
      </c>
      <c r="D84" t="s">
        <v>68</v>
      </c>
      <c r="E84" t="s">
        <v>207</v>
      </c>
      <c r="F84" t="s">
        <v>32</v>
      </c>
      <c r="G84" t="s">
        <v>33</v>
      </c>
      <c r="H84" t="s">
        <v>34</v>
      </c>
      <c r="I84">
        <v>4</v>
      </c>
      <c r="J84">
        <v>33.270000000000003</v>
      </c>
      <c r="K84">
        <v>0.03</v>
      </c>
      <c r="L84">
        <v>129.09</v>
      </c>
      <c r="M84">
        <v>98.45</v>
      </c>
      <c r="N84">
        <v>129.24</v>
      </c>
    </row>
    <row r="85" spans="1:14" ht="13.8">
      <c r="A85" t="s">
        <v>208</v>
      </c>
      <c r="B85" s="21">
        <v>45757</v>
      </c>
      <c r="C85" t="s">
        <v>29</v>
      </c>
      <c r="D85" t="s">
        <v>23</v>
      </c>
      <c r="E85" t="s">
        <v>170</v>
      </c>
      <c r="F85" t="s">
        <v>74</v>
      </c>
      <c r="G85" t="s">
        <v>26</v>
      </c>
      <c r="H85" t="s">
        <v>39</v>
      </c>
      <c r="I85">
        <v>8</v>
      </c>
      <c r="J85">
        <v>213.87</v>
      </c>
      <c r="K85">
        <v>0.03</v>
      </c>
      <c r="L85">
        <v>1659.63</v>
      </c>
      <c r="M85">
        <v>1035.58</v>
      </c>
      <c r="N85">
        <v>1708.86</v>
      </c>
    </row>
    <row r="86" spans="1:14" ht="13.8">
      <c r="A86" t="s">
        <v>209</v>
      </c>
      <c r="B86" s="21">
        <v>45998</v>
      </c>
      <c r="C86" t="s">
        <v>29</v>
      </c>
      <c r="D86" t="s">
        <v>68</v>
      </c>
      <c r="E86" t="s">
        <v>143</v>
      </c>
      <c r="F86" t="s">
        <v>18</v>
      </c>
      <c r="G86" t="s">
        <v>19</v>
      </c>
      <c r="H86" t="s">
        <v>20</v>
      </c>
      <c r="I86">
        <v>10</v>
      </c>
      <c r="J86">
        <v>819.94</v>
      </c>
      <c r="K86">
        <v>0.05</v>
      </c>
      <c r="L86">
        <v>7789.43</v>
      </c>
      <c r="M86">
        <v>4766.8100000000004</v>
      </c>
      <c r="N86">
        <v>6898.87</v>
      </c>
    </row>
    <row r="87" spans="1:14" ht="13.8">
      <c r="A87" t="s">
        <v>210</v>
      </c>
      <c r="B87" s="21">
        <v>45752</v>
      </c>
      <c r="C87" t="s">
        <v>29</v>
      </c>
      <c r="D87" t="s">
        <v>30</v>
      </c>
      <c r="E87" t="s">
        <v>211</v>
      </c>
      <c r="F87" t="s">
        <v>25</v>
      </c>
      <c r="G87" t="s">
        <v>33</v>
      </c>
      <c r="H87" t="s">
        <v>34</v>
      </c>
      <c r="I87">
        <v>8</v>
      </c>
      <c r="J87">
        <v>36.39</v>
      </c>
      <c r="K87">
        <v>0.03</v>
      </c>
      <c r="L87">
        <v>282.39</v>
      </c>
      <c r="M87">
        <v>214.96</v>
      </c>
      <c r="N87">
        <v>316.11</v>
      </c>
    </row>
    <row r="88" spans="1:14" ht="13.8">
      <c r="A88" t="s">
        <v>212</v>
      </c>
      <c r="B88" s="21">
        <v>45992</v>
      </c>
      <c r="C88" t="s">
        <v>67</v>
      </c>
      <c r="D88" t="s">
        <v>30</v>
      </c>
      <c r="E88" t="s">
        <v>213</v>
      </c>
      <c r="F88" t="s">
        <v>25</v>
      </c>
      <c r="G88" t="s">
        <v>33</v>
      </c>
      <c r="H88" t="s">
        <v>42</v>
      </c>
      <c r="I88">
        <v>12</v>
      </c>
      <c r="J88">
        <v>59.81</v>
      </c>
      <c r="K88">
        <v>0.03</v>
      </c>
      <c r="L88">
        <v>696.19</v>
      </c>
      <c r="M88">
        <v>519.48</v>
      </c>
      <c r="N88">
        <v>675.91</v>
      </c>
    </row>
    <row r="89" spans="1:14" ht="13.8">
      <c r="A89" t="s">
        <v>214</v>
      </c>
      <c r="B89" s="21">
        <v>45713</v>
      </c>
      <c r="C89" t="s">
        <v>29</v>
      </c>
      <c r="D89" t="s">
        <v>68</v>
      </c>
      <c r="E89" t="s">
        <v>215</v>
      </c>
      <c r="F89" t="s">
        <v>32</v>
      </c>
      <c r="G89" t="s">
        <v>19</v>
      </c>
      <c r="H89" t="s">
        <v>20</v>
      </c>
      <c r="I89">
        <v>2</v>
      </c>
      <c r="J89">
        <v>831.28</v>
      </c>
      <c r="K89">
        <v>0.03</v>
      </c>
      <c r="L89">
        <v>1612.68</v>
      </c>
      <c r="M89">
        <v>1116.68</v>
      </c>
      <c r="N89">
        <v>1761.76</v>
      </c>
    </row>
    <row r="90" spans="1:14" ht="13.8">
      <c r="A90" t="s">
        <v>216</v>
      </c>
      <c r="B90" s="21">
        <v>45879</v>
      </c>
      <c r="C90" t="s">
        <v>29</v>
      </c>
      <c r="D90" t="s">
        <v>30</v>
      </c>
      <c r="E90" t="s">
        <v>153</v>
      </c>
      <c r="F90" t="s">
        <v>74</v>
      </c>
      <c r="G90" t="s">
        <v>19</v>
      </c>
      <c r="H90" t="s">
        <v>37</v>
      </c>
      <c r="I90">
        <v>1</v>
      </c>
      <c r="J90">
        <v>1122.58</v>
      </c>
      <c r="K90">
        <v>0.02</v>
      </c>
      <c r="L90">
        <v>1100.1300000000001</v>
      </c>
      <c r="M90">
        <v>750.29</v>
      </c>
      <c r="N90">
        <v>1210.8900000000001</v>
      </c>
    </row>
    <row r="91" spans="1:14" ht="13.8">
      <c r="A91" t="s">
        <v>217</v>
      </c>
      <c r="B91" s="21">
        <v>45673</v>
      </c>
      <c r="C91" t="s">
        <v>15</v>
      </c>
      <c r="D91" t="s">
        <v>68</v>
      </c>
      <c r="E91" t="s">
        <v>218</v>
      </c>
      <c r="F91" t="s">
        <v>18</v>
      </c>
      <c r="G91" t="s">
        <v>45</v>
      </c>
      <c r="H91" t="s">
        <v>44</v>
      </c>
      <c r="I91">
        <v>7</v>
      </c>
      <c r="J91">
        <v>253.45</v>
      </c>
      <c r="K91">
        <v>0.1</v>
      </c>
      <c r="L91">
        <v>1596.73</v>
      </c>
      <c r="M91">
        <v>1227.3499999999999</v>
      </c>
      <c r="N91">
        <v>1420.7</v>
      </c>
    </row>
    <row r="92" spans="1:14" ht="13.8">
      <c r="A92" t="s">
        <v>219</v>
      </c>
      <c r="B92" s="21">
        <v>45789</v>
      </c>
      <c r="C92" t="s">
        <v>15</v>
      </c>
      <c r="D92" t="s">
        <v>30</v>
      </c>
      <c r="E92" t="s">
        <v>118</v>
      </c>
      <c r="F92" t="s">
        <v>32</v>
      </c>
      <c r="G92" t="s">
        <v>26</v>
      </c>
      <c r="H92" t="s">
        <v>39</v>
      </c>
      <c r="I92">
        <v>12</v>
      </c>
      <c r="J92">
        <v>210.38</v>
      </c>
      <c r="K92">
        <v>0.08</v>
      </c>
      <c r="L92">
        <v>2322.6</v>
      </c>
      <c r="M92">
        <v>1566.82</v>
      </c>
      <c r="N92">
        <v>2195.6799999999998</v>
      </c>
    </row>
    <row r="93" spans="1:14" ht="13.8">
      <c r="A93" t="s">
        <v>220</v>
      </c>
      <c r="B93" s="21">
        <v>45799</v>
      </c>
      <c r="C93" t="s">
        <v>15</v>
      </c>
      <c r="D93" t="s">
        <v>16</v>
      </c>
      <c r="E93" t="s">
        <v>221</v>
      </c>
      <c r="F93" t="s">
        <v>25</v>
      </c>
      <c r="G93" t="s">
        <v>26</v>
      </c>
      <c r="H93" t="s">
        <v>27</v>
      </c>
      <c r="I93">
        <v>1</v>
      </c>
      <c r="J93">
        <v>327.08999999999997</v>
      </c>
      <c r="K93">
        <v>0.08</v>
      </c>
      <c r="L93">
        <v>300.92</v>
      </c>
      <c r="M93">
        <v>241.22</v>
      </c>
      <c r="N93">
        <v>310.60000000000002</v>
      </c>
    </row>
    <row r="94" spans="1:14" ht="13.8">
      <c r="A94" t="s">
        <v>222</v>
      </c>
      <c r="B94" s="21">
        <v>45712</v>
      </c>
      <c r="C94" t="s">
        <v>22</v>
      </c>
      <c r="D94" t="s">
        <v>23</v>
      </c>
      <c r="E94" t="s">
        <v>73</v>
      </c>
      <c r="F94" t="s">
        <v>74</v>
      </c>
      <c r="G94" t="s">
        <v>33</v>
      </c>
      <c r="H94" t="s">
        <v>41</v>
      </c>
      <c r="I94">
        <v>12</v>
      </c>
      <c r="J94">
        <v>88.88</v>
      </c>
      <c r="K94">
        <v>0.05</v>
      </c>
      <c r="L94">
        <v>1013.23</v>
      </c>
      <c r="M94">
        <v>783.99</v>
      </c>
      <c r="N94">
        <v>1113.79</v>
      </c>
    </row>
    <row r="95" spans="1:14" ht="13.8">
      <c r="A95" t="s">
        <v>223</v>
      </c>
      <c r="B95" s="21">
        <v>45751</v>
      </c>
      <c r="C95" t="s">
        <v>29</v>
      </c>
      <c r="D95" t="s">
        <v>30</v>
      </c>
      <c r="E95" t="s">
        <v>224</v>
      </c>
      <c r="F95" t="s">
        <v>32</v>
      </c>
      <c r="G95" t="s">
        <v>19</v>
      </c>
      <c r="H95" t="s">
        <v>20</v>
      </c>
      <c r="I95">
        <v>13</v>
      </c>
      <c r="J95">
        <v>886.64</v>
      </c>
      <c r="K95">
        <v>0.03</v>
      </c>
      <c r="L95">
        <v>11180.53</v>
      </c>
      <c r="M95">
        <v>8732.06</v>
      </c>
      <c r="N95">
        <v>11912.57</v>
      </c>
    </row>
    <row r="96" spans="1:14" ht="13.8">
      <c r="A96" t="s">
        <v>225</v>
      </c>
      <c r="B96" s="21">
        <v>45893</v>
      </c>
      <c r="C96" t="s">
        <v>29</v>
      </c>
      <c r="D96" t="s">
        <v>23</v>
      </c>
      <c r="E96" t="s">
        <v>226</v>
      </c>
      <c r="F96" t="s">
        <v>18</v>
      </c>
      <c r="G96" t="s">
        <v>26</v>
      </c>
      <c r="H96" t="s">
        <v>40</v>
      </c>
      <c r="I96">
        <v>13</v>
      </c>
      <c r="J96">
        <v>462.7</v>
      </c>
      <c r="K96">
        <v>0</v>
      </c>
      <c r="L96">
        <v>6015.1</v>
      </c>
      <c r="M96">
        <v>4286.45</v>
      </c>
      <c r="N96">
        <v>5858.73</v>
      </c>
    </row>
    <row r="97" spans="1:14" ht="13.8">
      <c r="A97" t="s">
        <v>227</v>
      </c>
      <c r="B97" s="21">
        <v>45990</v>
      </c>
      <c r="C97" t="s">
        <v>15</v>
      </c>
      <c r="D97" t="s">
        <v>16</v>
      </c>
      <c r="E97" t="s">
        <v>228</v>
      </c>
      <c r="F97" t="s">
        <v>18</v>
      </c>
      <c r="G97" t="s">
        <v>19</v>
      </c>
      <c r="H97" t="s">
        <v>20</v>
      </c>
      <c r="I97">
        <v>8</v>
      </c>
      <c r="J97">
        <v>854.47</v>
      </c>
      <c r="K97">
        <v>0.03</v>
      </c>
      <c r="L97">
        <v>6630.69</v>
      </c>
      <c r="M97">
        <v>4212.82</v>
      </c>
      <c r="N97">
        <v>6513.81</v>
      </c>
    </row>
    <row r="98" spans="1:14" ht="13.8">
      <c r="A98" t="s">
        <v>229</v>
      </c>
      <c r="B98" s="21">
        <v>45764</v>
      </c>
      <c r="C98" t="s">
        <v>29</v>
      </c>
      <c r="D98" t="s">
        <v>68</v>
      </c>
      <c r="E98" t="s">
        <v>230</v>
      </c>
      <c r="F98" t="s">
        <v>25</v>
      </c>
      <c r="G98" t="s">
        <v>19</v>
      </c>
      <c r="H98" t="s">
        <v>37</v>
      </c>
      <c r="I98">
        <v>7</v>
      </c>
      <c r="J98">
        <v>1099.83</v>
      </c>
      <c r="K98">
        <v>0.1</v>
      </c>
      <c r="L98">
        <v>6928.93</v>
      </c>
      <c r="M98">
        <v>5639.22</v>
      </c>
      <c r="N98">
        <v>6385.47</v>
      </c>
    </row>
    <row r="99" spans="1:14" ht="13.8">
      <c r="A99" t="s">
        <v>231</v>
      </c>
      <c r="B99" s="21">
        <v>45933</v>
      </c>
      <c r="C99" t="s">
        <v>67</v>
      </c>
      <c r="D99" t="s">
        <v>30</v>
      </c>
      <c r="E99" t="s">
        <v>87</v>
      </c>
      <c r="F99" t="s">
        <v>32</v>
      </c>
      <c r="G99" t="s">
        <v>45</v>
      </c>
      <c r="H99" t="s">
        <v>47</v>
      </c>
      <c r="I99">
        <v>11</v>
      </c>
      <c r="J99">
        <v>430.9</v>
      </c>
      <c r="K99">
        <v>0.03</v>
      </c>
      <c r="L99">
        <v>4597.7</v>
      </c>
      <c r="M99">
        <v>3055.78</v>
      </c>
      <c r="N99">
        <v>4671.5</v>
      </c>
    </row>
    <row r="100" spans="1:14" ht="13.8">
      <c r="A100" t="s">
        <v>232</v>
      </c>
      <c r="B100" s="21">
        <v>45759</v>
      </c>
      <c r="C100" t="s">
        <v>29</v>
      </c>
      <c r="D100" t="s">
        <v>30</v>
      </c>
      <c r="E100" t="s">
        <v>218</v>
      </c>
      <c r="F100" t="s">
        <v>74</v>
      </c>
      <c r="G100" t="s">
        <v>33</v>
      </c>
      <c r="H100" t="s">
        <v>41</v>
      </c>
      <c r="I100">
        <v>4</v>
      </c>
      <c r="J100">
        <v>82.33</v>
      </c>
      <c r="K100">
        <v>0.02</v>
      </c>
      <c r="L100">
        <v>322.73</v>
      </c>
      <c r="M100">
        <v>204.52</v>
      </c>
      <c r="N100">
        <v>352.49</v>
      </c>
    </row>
    <row r="101" spans="1:14" ht="13.8">
      <c r="A101" t="s">
        <v>233</v>
      </c>
      <c r="B101" s="21">
        <v>45786</v>
      </c>
      <c r="C101" t="s">
        <v>15</v>
      </c>
      <c r="D101" t="s">
        <v>16</v>
      </c>
      <c r="E101" t="s">
        <v>17</v>
      </c>
      <c r="F101" t="s">
        <v>74</v>
      </c>
      <c r="G101" t="s">
        <v>26</v>
      </c>
      <c r="H101" t="s">
        <v>39</v>
      </c>
      <c r="I101">
        <v>9</v>
      </c>
      <c r="J101">
        <v>220.58</v>
      </c>
      <c r="K101">
        <v>0.1</v>
      </c>
      <c r="L101">
        <v>1786.7</v>
      </c>
      <c r="M101">
        <v>1389.8</v>
      </c>
      <c r="N101">
        <v>1852.45</v>
      </c>
    </row>
    <row r="102" spans="1:14" ht="13.8">
      <c r="A102" t="s">
        <v>234</v>
      </c>
      <c r="B102" s="21">
        <v>45776</v>
      </c>
      <c r="C102" t="s">
        <v>29</v>
      </c>
      <c r="D102" t="s">
        <v>16</v>
      </c>
      <c r="E102" t="s">
        <v>235</v>
      </c>
      <c r="F102" t="s">
        <v>25</v>
      </c>
      <c r="G102" t="s">
        <v>33</v>
      </c>
      <c r="H102" t="s">
        <v>41</v>
      </c>
      <c r="I102">
        <v>15</v>
      </c>
      <c r="J102">
        <v>83.93</v>
      </c>
      <c r="K102">
        <v>0.03</v>
      </c>
      <c r="L102">
        <v>1221.18</v>
      </c>
      <c r="M102">
        <v>795.28</v>
      </c>
      <c r="N102">
        <v>1089.4100000000001</v>
      </c>
    </row>
    <row r="103" spans="1:14" ht="13.8">
      <c r="A103" t="s">
        <v>236</v>
      </c>
      <c r="B103" s="21">
        <v>45887</v>
      </c>
      <c r="C103" t="s">
        <v>67</v>
      </c>
      <c r="D103" t="s">
        <v>23</v>
      </c>
      <c r="E103" t="s">
        <v>237</v>
      </c>
      <c r="F103" t="s">
        <v>32</v>
      </c>
      <c r="G103" t="s">
        <v>33</v>
      </c>
      <c r="H103" t="s">
        <v>43</v>
      </c>
      <c r="I103">
        <v>5</v>
      </c>
      <c r="J103">
        <v>77.06</v>
      </c>
      <c r="K103">
        <v>0.1</v>
      </c>
      <c r="L103">
        <v>346.77</v>
      </c>
      <c r="M103">
        <v>280.20999999999998</v>
      </c>
      <c r="N103">
        <v>313.95999999999998</v>
      </c>
    </row>
    <row r="104" spans="1:14" ht="13.8">
      <c r="A104" t="s">
        <v>238</v>
      </c>
      <c r="B104" s="21">
        <v>45832</v>
      </c>
      <c r="C104" t="s">
        <v>29</v>
      </c>
      <c r="D104" t="s">
        <v>16</v>
      </c>
      <c r="E104" t="s">
        <v>89</v>
      </c>
      <c r="F104" t="s">
        <v>32</v>
      </c>
      <c r="G104" t="s">
        <v>19</v>
      </c>
      <c r="H104" t="s">
        <v>38</v>
      </c>
      <c r="I104">
        <v>1</v>
      </c>
      <c r="J104">
        <v>921.88</v>
      </c>
      <c r="K104">
        <v>0.03</v>
      </c>
      <c r="L104">
        <v>894.22</v>
      </c>
      <c r="M104">
        <v>544.04999999999995</v>
      </c>
      <c r="N104">
        <v>944.06</v>
      </c>
    </row>
    <row r="105" spans="1:14" ht="13.8">
      <c r="A105" t="s">
        <v>239</v>
      </c>
      <c r="B105" s="21">
        <v>45867</v>
      </c>
      <c r="C105" t="s">
        <v>22</v>
      </c>
      <c r="D105" t="s">
        <v>64</v>
      </c>
      <c r="E105" t="s">
        <v>240</v>
      </c>
      <c r="F105" t="s">
        <v>18</v>
      </c>
      <c r="G105" t="s">
        <v>45</v>
      </c>
      <c r="H105" t="s">
        <v>44</v>
      </c>
      <c r="I105">
        <v>6</v>
      </c>
      <c r="J105">
        <v>251.81</v>
      </c>
      <c r="K105">
        <v>0.03</v>
      </c>
      <c r="L105">
        <v>1465.53</v>
      </c>
      <c r="M105">
        <v>904.45</v>
      </c>
      <c r="N105">
        <v>1300.73</v>
      </c>
    </row>
    <row r="106" spans="1:14" ht="13.8">
      <c r="A106" t="s">
        <v>241</v>
      </c>
      <c r="B106" s="21">
        <v>45866</v>
      </c>
      <c r="C106" t="s">
        <v>29</v>
      </c>
      <c r="D106" t="s">
        <v>68</v>
      </c>
      <c r="E106" t="s">
        <v>159</v>
      </c>
      <c r="F106" t="s">
        <v>32</v>
      </c>
      <c r="G106" t="s">
        <v>19</v>
      </c>
      <c r="H106" t="s">
        <v>37</v>
      </c>
      <c r="I106">
        <v>13</v>
      </c>
      <c r="J106">
        <v>1088.48</v>
      </c>
      <c r="K106">
        <v>0.08</v>
      </c>
      <c r="L106">
        <v>13018.22</v>
      </c>
      <c r="M106">
        <v>8253.57</v>
      </c>
      <c r="N106">
        <v>13124.44</v>
      </c>
    </row>
    <row r="107" spans="1:14" ht="13.8">
      <c r="A107" t="s">
        <v>242</v>
      </c>
      <c r="B107" s="21">
        <v>45867</v>
      </c>
      <c r="C107" t="s">
        <v>67</v>
      </c>
      <c r="D107" t="s">
        <v>68</v>
      </c>
      <c r="E107" t="s">
        <v>131</v>
      </c>
      <c r="F107" t="s">
        <v>18</v>
      </c>
      <c r="G107" t="s">
        <v>26</v>
      </c>
      <c r="H107" t="s">
        <v>27</v>
      </c>
      <c r="I107">
        <v>11</v>
      </c>
      <c r="J107">
        <v>313.83999999999997</v>
      </c>
      <c r="K107">
        <v>0</v>
      </c>
      <c r="L107">
        <v>3452.24</v>
      </c>
      <c r="M107">
        <v>2308.58</v>
      </c>
      <c r="N107">
        <v>3507.35</v>
      </c>
    </row>
    <row r="108" spans="1:14" ht="13.8">
      <c r="A108" t="s">
        <v>243</v>
      </c>
      <c r="B108" s="21">
        <v>45844</v>
      </c>
      <c r="C108" t="s">
        <v>29</v>
      </c>
      <c r="D108" t="s">
        <v>68</v>
      </c>
      <c r="E108" t="s">
        <v>100</v>
      </c>
      <c r="F108" t="s">
        <v>18</v>
      </c>
      <c r="G108" t="s">
        <v>45</v>
      </c>
      <c r="H108" t="s">
        <v>44</v>
      </c>
      <c r="I108">
        <v>4</v>
      </c>
      <c r="J108">
        <v>257.16000000000003</v>
      </c>
      <c r="K108">
        <v>0.05</v>
      </c>
      <c r="L108">
        <v>977.21</v>
      </c>
      <c r="M108">
        <v>630.11</v>
      </c>
      <c r="N108">
        <v>861.32</v>
      </c>
    </row>
    <row r="109" spans="1:14" ht="13.8">
      <c r="A109" t="s">
        <v>244</v>
      </c>
      <c r="B109" s="21">
        <v>45865</v>
      </c>
      <c r="C109" t="s">
        <v>29</v>
      </c>
      <c r="D109" t="s">
        <v>82</v>
      </c>
      <c r="E109" t="s">
        <v>184</v>
      </c>
      <c r="F109" t="s">
        <v>74</v>
      </c>
      <c r="G109" t="s">
        <v>33</v>
      </c>
      <c r="H109" t="s">
        <v>43</v>
      </c>
      <c r="I109">
        <v>15</v>
      </c>
      <c r="J109">
        <v>73.989999999999995</v>
      </c>
      <c r="K109">
        <v>0.02</v>
      </c>
      <c r="L109">
        <v>1087.6500000000001</v>
      </c>
      <c r="M109">
        <v>683.69</v>
      </c>
      <c r="N109">
        <v>970.63</v>
      </c>
    </row>
    <row r="110" spans="1:14" ht="13.8">
      <c r="A110" t="s">
        <v>245</v>
      </c>
      <c r="B110" s="21">
        <v>45703</v>
      </c>
      <c r="C110" t="s">
        <v>67</v>
      </c>
      <c r="D110" t="s">
        <v>23</v>
      </c>
      <c r="E110" t="s">
        <v>246</v>
      </c>
      <c r="F110" t="s">
        <v>25</v>
      </c>
      <c r="G110" t="s">
        <v>33</v>
      </c>
      <c r="H110" t="s">
        <v>43</v>
      </c>
      <c r="I110">
        <v>10</v>
      </c>
      <c r="J110">
        <v>78.2</v>
      </c>
      <c r="K110">
        <v>0.1</v>
      </c>
      <c r="L110">
        <v>703.8</v>
      </c>
      <c r="M110">
        <v>500.39</v>
      </c>
      <c r="N110">
        <v>643.99</v>
      </c>
    </row>
    <row r="111" spans="1:14" ht="13.8">
      <c r="A111" t="s">
        <v>247</v>
      </c>
      <c r="B111" s="21">
        <v>45692</v>
      </c>
      <c r="C111" t="s">
        <v>15</v>
      </c>
      <c r="D111" t="s">
        <v>68</v>
      </c>
      <c r="E111" t="s">
        <v>248</v>
      </c>
      <c r="F111" t="s">
        <v>18</v>
      </c>
      <c r="G111" t="s">
        <v>19</v>
      </c>
      <c r="H111" t="s">
        <v>37</v>
      </c>
      <c r="I111">
        <v>7</v>
      </c>
      <c r="J111">
        <v>1098.96</v>
      </c>
      <c r="K111">
        <v>0.02</v>
      </c>
      <c r="L111">
        <v>7538.87</v>
      </c>
      <c r="M111">
        <v>5023.57</v>
      </c>
      <c r="N111">
        <v>8149.14</v>
      </c>
    </row>
    <row r="112" spans="1:14" ht="13.8">
      <c r="A112" t="s">
        <v>249</v>
      </c>
      <c r="B112" s="21">
        <v>45969</v>
      </c>
      <c r="C112" t="s">
        <v>29</v>
      </c>
      <c r="D112" t="s">
        <v>82</v>
      </c>
      <c r="E112" t="s">
        <v>250</v>
      </c>
      <c r="F112" t="s">
        <v>25</v>
      </c>
      <c r="G112" t="s">
        <v>45</v>
      </c>
      <c r="H112" t="s">
        <v>44</v>
      </c>
      <c r="I112">
        <v>7</v>
      </c>
      <c r="J112">
        <v>249.24</v>
      </c>
      <c r="K112">
        <v>0.1</v>
      </c>
      <c r="L112">
        <v>1570.21</v>
      </c>
      <c r="M112">
        <v>1156.42</v>
      </c>
      <c r="N112">
        <v>1692.52</v>
      </c>
    </row>
    <row r="113" spans="1:14" ht="13.8">
      <c r="A113" t="s">
        <v>251</v>
      </c>
      <c r="B113" s="21">
        <v>45975</v>
      </c>
      <c r="C113" t="s">
        <v>22</v>
      </c>
      <c r="D113" t="s">
        <v>64</v>
      </c>
      <c r="E113" t="s">
        <v>96</v>
      </c>
      <c r="F113" t="s">
        <v>74</v>
      </c>
      <c r="G113" t="s">
        <v>33</v>
      </c>
      <c r="H113" t="s">
        <v>34</v>
      </c>
      <c r="I113">
        <v>10</v>
      </c>
      <c r="J113">
        <v>36.21</v>
      </c>
      <c r="K113">
        <v>0.05</v>
      </c>
      <c r="L113">
        <v>344</v>
      </c>
      <c r="M113">
        <v>220.25</v>
      </c>
      <c r="N113">
        <v>320.73</v>
      </c>
    </row>
    <row r="114" spans="1:14" ht="13.8">
      <c r="A114" t="s">
        <v>252</v>
      </c>
      <c r="B114" s="21">
        <v>45841</v>
      </c>
      <c r="C114" t="s">
        <v>15</v>
      </c>
      <c r="D114" t="s">
        <v>82</v>
      </c>
      <c r="E114" t="s">
        <v>150</v>
      </c>
      <c r="F114" t="s">
        <v>32</v>
      </c>
      <c r="G114" t="s">
        <v>19</v>
      </c>
      <c r="H114" t="s">
        <v>37</v>
      </c>
      <c r="I114">
        <v>3</v>
      </c>
      <c r="J114">
        <v>1072.18</v>
      </c>
      <c r="K114">
        <v>0.1</v>
      </c>
      <c r="L114">
        <v>2894.89</v>
      </c>
      <c r="M114">
        <v>2256.4</v>
      </c>
      <c r="N114">
        <v>2681.31</v>
      </c>
    </row>
    <row r="115" spans="1:14" ht="13.8">
      <c r="A115" t="s">
        <v>253</v>
      </c>
      <c r="B115" s="21">
        <v>45718</v>
      </c>
      <c r="C115" t="s">
        <v>67</v>
      </c>
      <c r="D115" t="s">
        <v>64</v>
      </c>
      <c r="E115" t="s">
        <v>254</v>
      </c>
      <c r="F115" t="s">
        <v>74</v>
      </c>
      <c r="G115" t="s">
        <v>33</v>
      </c>
      <c r="H115" t="s">
        <v>34</v>
      </c>
      <c r="I115">
        <v>10</v>
      </c>
      <c r="J115">
        <v>34.85</v>
      </c>
      <c r="K115">
        <v>0.1</v>
      </c>
      <c r="L115">
        <v>313.64999999999998</v>
      </c>
      <c r="M115">
        <v>241.88</v>
      </c>
      <c r="N115">
        <v>324.87</v>
      </c>
    </row>
    <row r="116" spans="1:14" ht="13.8">
      <c r="A116" t="s">
        <v>255</v>
      </c>
      <c r="B116" s="21">
        <v>45857</v>
      </c>
      <c r="C116" t="s">
        <v>22</v>
      </c>
      <c r="D116" t="s">
        <v>68</v>
      </c>
      <c r="E116" t="s">
        <v>256</v>
      </c>
      <c r="F116" t="s">
        <v>74</v>
      </c>
      <c r="G116" t="s">
        <v>45</v>
      </c>
      <c r="H116" t="s">
        <v>44</v>
      </c>
      <c r="I116">
        <v>6</v>
      </c>
      <c r="J116">
        <v>258.62</v>
      </c>
      <c r="K116">
        <v>0.05</v>
      </c>
      <c r="L116">
        <v>1474.13</v>
      </c>
      <c r="M116">
        <v>942.45</v>
      </c>
      <c r="N116">
        <v>1298.48</v>
      </c>
    </row>
    <row r="117" spans="1:14" ht="13.8">
      <c r="A117" t="s">
        <v>257</v>
      </c>
      <c r="B117" s="21">
        <v>45974</v>
      </c>
      <c r="C117" t="s">
        <v>15</v>
      </c>
      <c r="D117" t="s">
        <v>23</v>
      </c>
      <c r="E117" t="s">
        <v>215</v>
      </c>
      <c r="F117" t="s">
        <v>74</v>
      </c>
      <c r="G117" t="s">
        <v>45</v>
      </c>
      <c r="H117" t="s">
        <v>47</v>
      </c>
      <c r="I117">
        <v>14</v>
      </c>
      <c r="J117">
        <v>418.25</v>
      </c>
      <c r="K117">
        <v>0.02</v>
      </c>
      <c r="L117">
        <v>5738.39</v>
      </c>
      <c r="M117">
        <v>4466.28</v>
      </c>
      <c r="N117">
        <v>5601.14</v>
      </c>
    </row>
    <row r="118" spans="1:14" ht="13.8">
      <c r="A118" t="s">
        <v>258</v>
      </c>
      <c r="B118" s="21">
        <v>45845</v>
      </c>
      <c r="C118" t="s">
        <v>29</v>
      </c>
      <c r="D118" t="s">
        <v>16</v>
      </c>
      <c r="E118" t="s">
        <v>73</v>
      </c>
      <c r="F118" t="s">
        <v>32</v>
      </c>
      <c r="G118" t="s">
        <v>19</v>
      </c>
      <c r="H118" t="s">
        <v>37</v>
      </c>
      <c r="I118">
        <v>13</v>
      </c>
      <c r="J118">
        <v>1093.6199999999999</v>
      </c>
      <c r="K118">
        <v>0.08</v>
      </c>
      <c r="L118">
        <v>13079.7</v>
      </c>
      <c r="M118">
        <v>9738.64</v>
      </c>
      <c r="N118">
        <v>11637.75</v>
      </c>
    </row>
    <row r="119" spans="1:14" ht="13.8">
      <c r="A119" t="s">
        <v>259</v>
      </c>
      <c r="B119" s="21">
        <v>45919</v>
      </c>
      <c r="C119" t="s">
        <v>15</v>
      </c>
      <c r="D119" t="s">
        <v>16</v>
      </c>
      <c r="E119" t="s">
        <v>260</v>
      </c>
      <c r="F119" t="s">
        <v>18</v>
      </c>
      <c r="G119" t="s">
        <v>19</v>
      </c>
      <c r="H119" t="s">
        <v>37</v>
      </c>
      <c r="I119">
        <v>1</v>
      </c>
      <c r="J119">
        <v>1127.73</v>
      </c>
      <c r="K119">
        <v>0.05</v>
      </c>
      <c r="L119">
        <v>1071.3399999999999</v>
      </c>
      <c r="M119">
        <v>796.65</v>
      </c>
      <c r="N119">
        <v>1144.42</v>
      </c>
    </row>
    <row r="120" spans="1:14" ht="13.8">
      <c r="A120" t="s">
        <v>261</v>
      </c>
      <c r="B120" s="21">
        <v>45757</v>
      </c>
      <c r="C120" t="s">
        <v>29</v>
      </c>
      <c r="D120" t="s">
        <v>16</v>
      </c>
      <c r="E120" t="s">
        <v>102</v>
      </c>
      <c r="F120" t="s">
        <v>32</v>
      </c>
      <c r="G120" t="s">
        <v>19</v>
      </c>
      <c r="H120" t="s">
        <v>38</v>
      </c>
      <c r="I120">
        <v>15</v>
      </c>
      <c r="J120">
        <v>949.23</v>
      </c>
      <c r="K120">
        <v>0.02</v>
      </c>
      <c r="L120">
        <v>13953.68</v>
      </c>
      <c r="M120">
        <v>10478.51</v>
      </c>
      <c r="N120">
        <v>14694.05</v>
      </c>
    </row>
    <row r="121" spans="1:14" ht="13.8">
      <c r="A121" t="s">
        <v>262</v>
      </c>
      <c r="B121" s="21">
        <v>45970</v>
      </c>
      <c r="C121" t="s">
        <v>29</v>
      </c>
      <c r="D121" t="s">
        <v>30</v>
      </c>
      <c r="E121" t="s">
        <v>263</v>
      </c>
      <c r="F121" t="s">
        <v>74</v>
      </c>
      <c r="G121" t="s">
        <v>45</v>
      </c>
      <c r="H121" t="s">
        <v>47</v>
      </c>
      <c r="I121">
        <v>5</v>
      </c>
      <c r="J121">
        <v>405.67</v>
      </c>
      <c r="K121">
        <v>0.08</v>
      </c>
      <c r="L121">
        <v>1866.08</v>
      </c>
      <c r="M121">
        <v>1232.54</v>
      </c>
      <c r="N121">
        <v>2007.44</v>
      </c>
    </row>
    <row r="122" spans="1:14" ht="13.8">
      <c r="A122" t="s">
        <v>264</v>
      </c>
      <c r="B122" s="21">
        <v>45764</v>
      </c>
      <c r="C122" t="s">
        <v>29</v>
      </c>
      <c r="D122" t="s">
        <v>68</v>
      </c>
      <c r="E122" t="s">
        <v>96</v>
      </c>
      <c r="F122" t="s">
        <v>32</v>
      </c>
      <c r="G122" t="s">
        <v>33</v>
      </c>
      <c r="H122" t="s">
        <v>43</v>
      </c>
      <c r="I122">
        <v>5</v>
      </c>
      <c r="J122">
        <v>75.87</v>
      </c>
      <c r="K122">
        <v>0.02</v>
      </c>
      <c r="L122">
        <v>371.76</v>
      </c>
      <c r="M122">
        <v>249.15</v>
      </c>
      <c r="N122">
        <v>330.44</v>
      </c>
    </row>
    <row r="123" spans="1:14" ht="13.8">
      <c r="A123" t="s">
        <v>265</v>
      </c>
      <c r="B123" s="21">
        <v>46005</v>
      </c>
      <c r="C123" t="s">
        <v>67</v>
      </c>
      <c r="D123" t="s">
        <v>68</v>
      </c>
      <c r="E123" t="s">
        <v>266</v>
      </c>
      <c r="F123" t="s">
        <v>18</v>
      </c>
      <c r="G123" t="s">
        <v>26</v>
      </c>
      <c r="H123" t="s">
        <v>40</v>
      </c>
      <c r="I123">
        <v>15</v>
      </c>
      <c r="J123">
        <v>444.46</v>
      </c>
      <c r="K123">
        <v>0.03</v>
      </c>
      <c r="L123">
        <v>6466.89</v>
      </c>
      <c r="M123">
        <v>4043.86</v>
      </c>
      <c r="N123">
        <v>6514.57</v>
      </c>
    </row>
    <row r="124" spans="1:14" ht="13.8">
      <c r="A124" t="s">
        <v>267</v>
      </c>
      <c r="B124" s="21">
        <v>45787</v>
      </c>
      <c r="C124" t="s">
        <v>67</v>
      </c>
      <c r="D124" t="s">
        <v>64</v>
      </c>
      <c r="E124" t="s">
        <v>69</v>
      </c>
      <c r="F124" t="s">
        <v>32</v>
      </c>
      <c r="G124" t="s">
        <v>33</v>
      </c>
      <c r="H124" t="s">
        <v>42</v>
      </c>
      <c r="I124">
        <v>11</v>
      </c>
      <c r="J124">
        <v>62.14</v>
      </c>
      <c r="K124">
        <v>0.1</v>
      </c>
      <c r="L124">
        <v>615.19000000000005</v>
      </c>
      <c r="M124">
        <v>477.07</v>
      </c>
      <c r="N124">
        <v>580.46</v>
      </c>
    </row>
    <row r="125" spans="1:14" ht="13.8">
      <c r="A125" t="s">
        <v>268</v>
      </c>
      <c r="B125" s="21">
        <v>45827</v>
      </c>
      <c r="C125" t="s">
        <v>67</v>
      </c>
      <c r="D125" t="s">
        <v>64</v>
      </c>
      <c r="E125" t="s">
        <v>188</v>
      </c>
      <c r="F125" t="s">
        <v>32</v>
      </c>
      <c r="G125" t="s">
        <v>45</v>
      </c>
      <c r="H125" t="s">
        <v>47</v>
      </c>
      <c r="I125">
        <v>2</v>
      </c>
      <c r="J125">
        <v>417.58</v>
      </c>
      <c r="K125">
        <v>0.02</v>
      </c>
      <c r="L125">
        <v>818.46</v>
      </c>
      <c r="M125">
        <v>601.88</v>
      </c>
      <c r="N125">
        <v>908.42</v>
      </c>
    </row>
    <row r="126" spans="1:14" ht="13.8">
      <c r="A126" t="s">
        <v>269</v>
      </c>
      <c r="B126" s="21">
        <v>45985</v>
      </c>
      <c r="C126" t="s">
        <v>29</v>
      </c>
      <c r="D126" t="s">
        <v>23</v>
      </c>
      <c r="E126" t="s">
        <v>270</v>
      </c>
      <c r="F126" t="s">
        <v>74</v>
      </c>
      <c r="G126" t="s">
        <v>33</v>
      </c>
      <c r="H126" t="s">
        <v>43</v>
      </c>
      <c r="I126">
        <v>15</v>
      </c>
      <c r="J126">
        <v>76.23</v>
      </c>
      <c r="K126">
        <v>0.03</v>
      </c>
      <c r="L126">
        <v>1109.1500000000001</v>
      </c>
      <c r="M126">
        <v>844.36</v>
      </c>
      <c r="N126">
        <v>1174.93</v>
      </c>
    </row>
    <row r="127" spans="1:14" ht="13.8">
      <c r="A127" t="s">
        <v>271</v>
      </c>
      <c r="B127" s="21">
        <v>45871</v>
      </c>
      <c r="C127" t="s">
        <v>15</v>
      </c>
      <c r="D127" t="s">
        <v>16</v>
      </c>
      <c r="E127" t="s">
        <v>143</v>
      </c>
      <c r="F127" t="s">
        <v>18</v>
      </c>
      <c r="G127" t="s">
        <v>33</v>
      </c>
      <c r="H127" t="s">
        <v>42</v>
      </c>
      <c r="I127">
        <v>6</v>
      </c>
      <c r="J127">
        <v>62.37</v>
      </c>
      <c r="K127">
        <v>0.02</v>
      </c>
      <c r="L127">
        <v>366.74</v>
      </c>
      <c r="M127">
        <v>259.45</v>
      </c>
      <c r="N127">
        <v>376.64</v>
      </c>
    </row>
    <row r="128" spans="1:14" ht="13.8">
      <c r="A128" t="s">
        <v>272</v>
      </c>
      <c r="B128" s="21">
        <v>45948</v>
      </c>
      <c r="C128" t="s">
        <v>67</v>
      </c>
      <c r="D128" t="s">
        <v>64</v>
      </c>
      <c r="E128" t="s">
        <v>273</v>
      </c>
      <c r="F128" t="s">
        <v>25</v>
      </c>
      <c r="G128" t="s">
        <v>26</v>
      </c>
      <c r="H128" t="s">
        <v>40</v>
      </c>
      <c r="I128">
        <v>5</v>
      </c>
      <c r="J128">
        <v>432.29</v>
      </c>
      <c r="K128">
        <v>0.03</v>
      </c>
      <c r="L128">
        <v>2096.61</v>
      </c>
      <c r="M128">
        <v>1504.33</v>
      </c>
      <c r="N128">
        <v>2052.9499999999998</v>
      </c>
    </row>
    <row r="129" spans="1:14" ht="13.8">
      <c r="A129" t="s">
        <v>274</v>
      </c>
      <c r="B129" s="21">
        <v>45845</v>
      </c>
      <c r="C129" t="s">
        <v>29</v>
      </c>
      <c r="D129" t="s">
        <v>68</v>
      </c>
      <c r="E129" t="s">
        <v>71</v>
      </c>
      <c r="F129" t="s">
        <v>18</v>
      </c>
      <c r="G129" t="s">
        <v>33</v>
      </c>
      <c r="H129" t="s">
        <v>43</v>
      </c>
      <c r="I129">
        <v>14</v>
      </c>
      <c r="J129">
        <v>74.81</v>
      </c>
      <c r="K129">
        <v>0.02</v>
      </c>
      <c r="L129">
        <v>1026.3900000000001</v>
      </c>
      <c r="M129">
        <v>619.02</v>
      </c>
      <c r="N129">
        <v>1100.6600000000001</v>
      </c>
    </row>
    <row r="130" spans="1:14" ht="13.8">
      <c r="A130" t="s">
        <v>275</v>
      </c>
      <c r="B130" s="21">
        <v>45984</v>
      </c>
      <c r="C130" t="s">
        <v>15</v>
      </c>
      <c r="D130" t="s">
        <v>16</v>
      </c>
      <c r="E130" t="s">
        <v>197</v>
      </c>
      <c r="F130" t="s">
        <v>32</v>
      </c>
      <c r="G130" t="s">
        <v>19</v>
      </c>
      <c r="H130" t="s">
        <v>38</v>
      </c>
      <c r="I130">
        <v>14</v>
      </c>
      <c r="J130">
        <v>965.72</v>
      </c>
      <c r="K130">
        <v>0.03</v>
      </c>
      <c r="L130">
        <v>13114.48</v>
      </c>
      <c r="M130">
        <v>9028.4</v>
      </c>
      <c r="N130">
        <v>12372.43</v>
      </c>
    </row>
    <row r="131" spans="1:14" ht="13.8">
      <c r="A131" t="s">
        <v>276</v>
      </c>
      <c r="B131" s="21">
        <v>45962</v>
      </c>
      <c r="C131" t="s">
        <v>15</v>
      </c>
      <c r="D131" t="s">
        <v>16</v>
      </c>
      <c r="E131" t="s">
        <v>277</v>
      </c>
      <c r="F131" t="s">
        <v>18</v>
      </c>
      <c r="G131" t="s">
        <v>45</v>
      </c>
      <c r="H131" t="s">
        <v>44</v>
      </c>
      <c r="I131">
        <v>10</v>
      </c>
      <c r="J131">
        <v>258.54000000000002</v>
      </c>
      <c r="K131">
        <v>0.08</v>
      </c>
      <c r="L131">
        <v>2378.5700000000002</v>
      </c>
      <c r="M131">
        <v>1810.98</v>
      </c>
      <c r="N131">
        <v>2235</v>
      </c>
    </row>
    <row r="132" spans="1:14" ht="13.8">
      <c r="A132" t="s">
        <v>278</v>
      </c>
      <c r="B132" s="21">
        <v>45865</v>
      </c>
      <c r="C132" t="s">
        <v>29</v>
      </c>
      <c r="D132" t="s">
        <v>23</v>
      </c>
      <c r="E132" t="s">
        <v>226</v>
      </c>
      <c r="F132" t="s">
        <v>25</v>
      </c>
      <c r="G132" t="s">
        <v>19</v>
      </c>
      <c r="H132" t="s">
        <v>38</v>
      </c>
      <c r="I132">
        <v>4</v>
      </c>
      <c r="J132">
        <v>917.63</v>
      </c>
      <c r="K132">
        <v>0</v>
      </c>
      <c r="L132">
        <v>3670.52</v>
      </c>
      <c r="M132">
        <v>2212.2800000000002</v>
      </c>
      <c r="N132">
        <v>3715.38</v>
      </c>
    </row>
    <row r="133" spans="1:14" ht="13.8">
      <c r="A133" t="s">
        <v>279</v>
      </c>
      <c r="B133" s="21">
        <v>45923</v>
      </c>
      <c r="C133" t="s">
        <v>67</v>
      </c>
      <c r="D133" t="s">
        <v>16</v>
      </c>
      <c r="E133" t="s">
        <v>104</v>
      </c>
      <c r="F133" t="s">
        <v>18</v>
      </c>
      <c r="G133" t="s">
        <v>33</v>
      </c>
      <c r="H133" t="s">
        <v>43</v>
      </c>
      <c r="I133">
        <v>11</v>
      </c>
      <c r="J133">
        <v>75.05</v>
      </c>
      <c r="K133">
        <v>0.1</v>
      </c>
      <c r="L133">
        <v>743</v>
      </c>
      <c r="M133">
        <v>513.67999999999995</v>
      </c>
      <c r="N133">
        <v>763.18</v>
      </c>
    </row>
    <row r="134" spans="1:14" ht="13.8">
      <c r="A134" t="s">
        <v>280</v>
      </c>
      <c r="B134" s="21">
        <v>45902</v>
      </c>
      <c r="C134" t="s">
        <v>22</v>
      </c>
      <c r="D134" t="s">
        <v>23</v>
      </c>
      <c r="E134" t="s">
        <v>106</v>
      </c>
      <c r="F134" t="s">
        <v>18</v>
      </c>
      <c r="G134" t="s">
        <v>45</v>
      </c>
      <c r="H134" t="s">
        <v>46</v>
      </c>
      <c r="I134">
        <v>9</v>
      </c>
      <c r="J134">
        <v>323.22000000000003</v>
      </c>
      <c r="K134">
        <v>0.05</v>
      </c>
      <c r="L134">
        <v>2763.53</v>
      </c>
      <c r="M134">
        <v>2111.17</v>
      </c>
      <c r="N134">
        <v>2740.49</v>
      </c>
    </row>
    <row r="135" spans="1:14" ht="13.8">
      <c r="A135" t="s">
        <v>281</v>
      </c>
      <c r="B135" s="21">
        <v>45791</v>
      </c>
      <c r="C135" t="s">
        <v>67</v>
      </c>
      <c r="D135" t="s">
        <v>82</v>
      </c>
      <c r="E135" t="s">
        <v>143</v>
      </c>
      <c r="F135" t="s">
        <v>32</v>
      </c>
      <c r="G135" t="s">
        <v>26</v>
      </c>
      <c r="H135" t="s">
        <v>39</v>
      </c>
      <c r="I135">
        <v>11</v>
      </c>
      <c r="J135">
        <v>209.85</v>
      </c>
      <c r="K135">
        <v>0.03</v>
      </c>
      <c r="L135">
        <v>2239.1</v>
      </c>
      <c r="M135">
        <v>1782.5</v>
      </c>
      <c r="N135">
        <v>2467.58</v>
      </c>
    </row>
    <row r="136" spans="1:14" ht="13.8">
      <c r="A136" t="s">
        <v>282</v>
      </c>
      <c r="B136" s="21">
        <v>45983</v>
      </c>
      <c r="C136" t="s">
        <v>29</v>
      </c>
      <c r="D136" t="s">
        <v>16</v>
      </c>
      <c r="E136" t="s">
        <v>283</v>
      </c>
      <c r="F136" t="s">
        <v>18</v>
      </c>
      <c r="G136" t="s">
        <v>33</v>
      </c>
      <c r="H136" t="s">
        <v>42</v>
      </c>
      <c r="I136">
        <v>11</v>
      </c>
      <c r="J136">
        <v>59.62</v>
      </c>
      <c r="K136">
        <v>0.08</v>
      </c>
      <c r="L136">
        <v>603.35</v>
      </c>
      <c r="M136">
        <v>491.02</v>
      </c>
      <c r="N136">
        <v>573.75</v>
      </c>
    </row>
    <row r="137" spans="1:14" ht="13.8">
      <c r="A137" t="s">
        <v>284</v>
      </c>
      <c r="B137" s="21">
        <v>45744</v>
      </c>
      <c r="C137" t="s">
        <v>67</v>
      </c>
      <c r="D137" t="s">
        <v>23</v>
      </c>
      <c r="E137" t="s">
        <v>283</v>
      </c>
      <c r="F137" t="s">
        <v>74</v>
      </c>
      <c r="G137" t="s">
        <v>26</v>
      </c>
      <c r="H137" t="s">
        <v>27</v>
      </c>
      <c r="I137">
        <v>15</v>
      </c>
      <c r="J137">
        <v>311.56</v>
      </c>
      <c r="K137">
        <v>0.1</v>
      </c>
      <c r="L137">
        <v>4206.0600000000004</v>
      </c>
      <c r="M137">
        <v>2711.27</v>
      </c>
      <c r="N137">
        <v>3862.02</v>
      </c>
    </row>
    <row r="138" spans="1:14" ht="13.8">
      <c r="A138" t="s">
        <v>285</v>
      </c>
      <c r="B138" s="21">
        <v>45826</v>
      </c>
      <c r="C138" t="s">
        <v>22</v>
      </c>
      <c r="D138" t="s">
        <v>68</v>
      </c>
      <c r="E138" t="s">
        <v>150</v>
      </c>
      <c r="F138" t="s">
        <v>18</v>
      </c>
      <c r="G138" t="s">
        <v>33</v>
      </c>
      <c r="H138" t="s">
        <v>43</v>
      </c>
      <c r="I138">
        <v>4</v>
      </c>
      <c r="J138">
        <v>74.099999999999994</v>
      </c>
      <c r="K138">
        <v>0.1</v>
      </c>
      <c r="L138">
        <v>266.76</v>
      </c>
      <c r="M138">
        <v>214.15</v>
      </c>
      <c r="N138">
        <v>297.60000000000002</v>
      </c>
    </row>
    <row r="139" spans="1:14" ht="13.8">
      <c r="A139" t="s">
        <v>286</v>
      </c>
      <c r="B139" s="21">
        <v>45671</v>
      </c>
      <c r="C139" t="s">
        <v>15</v>
      </c>
      <c r="D139" t="s">
        <v>64</v>
      </c>
      <c r="E139" t="s">
        <v>111</v>
      </c>
      <c r="F139" t="s">
        <v>25</v>
      </c>
      <c r="G139" t="s">
        <v>33</v>
      </c>
      <c r="H139" t="s">
        <v>34</v>
      </c>
      <c r="I139">
        <v>12</v>
      </c>
      <c r="J139">
        <v>34.07</v>
      </c>
      <c r="K139">
        <v>0.03</v>
      </c>
      <c r="L139">
        <v>396.57</v>
      </c>
      <c r="M139">
        <v>306.8</v>
      </c>
      <c r="N139">
        <v>386.25</v>
      </c>
    </row>
    <row r="140" spans="1:14" ht="13.8">
      <c r="A140" t="s">
        <v>287</v>
      </c>
      <c r="B140" s="21">
        <v>45732</v>
      </c>
      <c r="C140" t="s">
        <v>29</v>
      </c>
      <c r="D140" t="s">
        <v>82</v>
      </c>
      <c r="E140" t="s">
        <v>98</v>
      </c>
      <c r="F140" t="s">
        <v>18</v>
      </c>
      <c r="G140" t="s">
        <v>19</v>
      </c>
      <c r="H140" t="s">
        <v>20</v>
      </c>
      <c r="I140">
        <v>1</v>
      </c>
      <c r="J140">
        <v>817.01</v>
      </c>
      <c r="K140">
        <v>0.08</v>
      </c>
      <c r="L140">
        <v>751.65</v>
      </c>
      <c r="M140">
        <v>604.6</v>
      </c>
      <c r="N140">
        <v>723.66</v>
      </c>
    </row>
    <row r="141" spans="1:14" ht="13.8">
      <c r="A141" t="s">
        <v>288</v>
      </c>
      <c r="B141" s="21">
        <v>45679</v>
      </c>
      <c r="C141" t="s">
        <v>15</v>
      </c>
      <c r="D141" t="s">
        <v>64</v>
      </c>
      <c r="E141" t="s">
        <v>289</v>
      </c>
      <c r="F141" t="s">
        <v>32</v>
      </c>
      <c r="G141" t="s">
        <v>19</v>
      </c>
      <c r="H141" t="s">
        <v>38</v>
      </c>
      <c r="I141">
        <v>12</v>
      </c>
      <c r="J141">
        <v>963.64</v>
      </c>
      <c r="K141">
        <v>0</v>
      </c>
      <c r="L141">
        <v>11563.68</v>
      </c>
      <c r="M141">
        <v>8711.4</v>
      </c>
      <c r="N141">
        <v>12220.83</v>
      </c>
    </row>
    <row r="142" spans="1:14" ht="13.8">
      <c r="A142" t="s">
        <v>290</v>
      </c>
      <c r="B142" s="21">
        <v>45760</v>
      </c>
      <c r="C142" t="s">
        <v>29</v>
      </c>
      <c r="D142" t="s">
        <v>23</v>
      </c>
      <c r="E142" t="s">
        <v>100</v>
      </c>
      <c r="F142" t="s">
        <v>18</v>
      </c>
      <c r="G142" t="s">
        <v>33</v>
      </c>
      <c r="H142" t="s">
        <v>42</v>
      </c>
      <c r="I142">
        <v>15</v>
      </c>
      <c r="J142">
        <v>60.98</v>
      </c>
      <c r="K142">
        <v>0.1</v>
      </c>
      <c r="L142">
        <v>823.23</v>
      </c>
      <c r="M142">
        <v>664.97</v>
      </c>
      <c r="N142">
        <v>745.61</v>
      </c>
    </row>
    <row r="143" spans="1:14" ht="13.8">
      <c r="A143" t="s">
        <v>291</v>
      </c>
      <c r="B143" s="21">
        <v>45675</v>
      </c>
      <c r="C143" t="s">
        <v>29</v>
      </c>
      <c r="D143" t="s">
        <v>16</v>
      </c>
      <c r="E143" t="s">
        <v>108</v>
      </c>
      <c r="F143" t="s">
        <v>25</v>
      </c>
      <c r="G143" t="s">
        <v>45</v>
      </c>
      <c r="H143" t="s">
        <v>47</v>
      </c>
      <c r="I143">
        <v>13</v>
      </c>
      <c r="J143">
        <v>425.64</v>
      </c>
      <c r="K143">
        <v>0.1</v>
      </c>
      <c r="L143">
        <v>4979.99</v>
      </c>
      <c r="M143">
        <v>3680.7</v>
      </c>
      <c r="N143">
        <v>4952.6400000000003</v>
      </c>
    </row>
    <row r="144" spans="1:14" ht="13.8">
      <c r="A144" t="s">
        <v>292</v>
      </c>
      <c r="B144" s="21">
        <v>45808</v>
      </c>
      <c r="C144" t="s">
        <v>15</v>
      </c>
      <c r="D144" t="s">
        <v>82</v>
      </c>
      <c r="E144" t="s">
        <v>289</v>
      </c>
      <c r="F144" t="s">
        <v>32</v>
      </c>
      <c r="G144" t="s">
        <v>26</v>
      </c>
      <c r="H144" t="s">
        <v>40</v>
      </c>
      <c r="I144">
        <v>6</v>
      </c>
      <c r="J144">
        <v>446.57</v>
      </c>
      <c r="K144">
        <v>0</v>
      </c>
      <c r="L144">
        <v>2679.42</v>
      </c>
      <c r="M144">
        <v>1814.5</v>
      </c>
      <c r="N144">
        <v>2956</v>
      </c>
    </row>
    <row r="145" spans="1:14" ht="13.8">
      <c r="A145" t="s">
        <v>293</v>
      </c>
      <c r="B145" s="21">
        <v>45822</v>
      </c>
      <c r="C145" t="s">
        <v>22</v>
      </c>
      <c r="D145" t="s">
        <v>16</v>
      </c>
      <c r="E145" t="s">
        <v>113</v>
      </c>
      <c r="F145" t="s">
        <v>18</v>
      </c>
      <c r="G145" t="s">
        <v>45</v>
      </c>
      <c r="H145" t="s">
        <v>47</v>
      </c>
      <c r="I145">
        <v>10</v>
      </c>
      <c r="J145">
        <v>420.16</v>
      </c>
      <c r="K145">
        <v>0.03</v>
      </c>
      <c r="L145">
        <v>4075.55</v>
      </c>
      <c r="M145">
        <v>2999.69</v>
      </c>
      <c r="N145">
        <v>3616.79</v>
      </c>
    </row>
    <row r="146" spans="1:14" ht="13.8">
      <c r="A146" t="s">
        <v>294</v>
      </c>
      <c r="B146" s="21">
        <v>45835</v>
      </c>
      <c r="C146" t="s">
        <v>15</v>
      </c>
      <c r="D146" t="s">
        <v>64</v>
      </c>
      <c r="E146" t="s">
        <v>89</v>
      </c>
      <c r="F146" t="s">
        <v>32</v>
      </c>
      <c r="G146" t="s">
        <v>33</v>
      </c>
      <c r="H146" t="s">
        <v>41</v>
      </c>
      <c r="I146">
        <v>12</v>
      </c>
      <c r="J146">
        <v>81.16</v>
      </c>
      <c r="K146">
        <v>0.08</v>
      </c>
      <c r="L146">
        <v>896.01</v>
      </c>
      <c r="M146">
        <v>580.29999999999995</v>
      </c>
      <c r="N146">
        <v>973.91</v>
      </c>
    </row>
    <row r="147" spans="1:14" ht="13.8">
      <c r="A147" t="s">
        <v>295</v>
      </c>
      <c r="B147" s="21">
        <v>45745</v>
      </c>
      <c r="C147" t="s">
        <v>15</v>
      </c>
      <c r="D147" t="s">
        <v>30</v>
      </c>
      <c r="E147" t="s">
        <v>170</v>
      </c>
      <c r="F147" t="s">
        <v>18</v>
      </c>
      <c r="G147" t="s">
        <v>33</v>
      </c>
      <c r="H147" t="s">
        <v>34</v>
      </c>
      <c r="I147">
        <v>1</v>
      </c>
      <c r="J147">
        <v>35.08</v>
      </c>
      <c r="K147">
        <v>0.03</v>
      </c>
      <c r="L147">
        <v>34.03</v>
      </c>
      <c r="M147">
        <v>26.12</v>
      </c>
      <c r="N147">
        <v>37.93</v>
      </c>
    </row>
    <row r="148" spans="1:14" ht="13.8">
      <c r="A148" t="s">
        <v>296</v>
      </c>
      <c r="B148" s="21">
        <v>45909</v>
      </c>
      <c r="C148" t="s">
        <v>67</v>
      </c>
      <c r="D148" t="s">
        <v>64</v>
      </c>
      <c r="E148" t="s">
        <v>96</v>
      </c>
      <c r="F148" t="s">
        <v>32</v>
      </c>
      <c r="G148" t="s">
        <v>45</v>
      </c>
      <c r="H148" t="s">
        <v>46</v>
      </c>
      <c r="I148">
        <v>13</v>
      </c>
      <c r="J148">
        <v>351.06</v>
      </c>
      <c r="K148">
        <v>0.05</v>
      </c>
      <c r="L148">
        <v>4335.59</v>
      </c>
      <c r="M148">
        <v>3166.55</v>
      </c>
      <c r="N148">
        <v>4811.33</v>
      </c>
    </row>
    <row r="149" spans="1:14" ht="13.8">
      <c r="A149" t="s">
        <v>297</v>
      </c>
      <c r="B149" s="21">
        <v>45767</v>
      </c>
      <c r="C149" t="s">
        <v>22</v>
      </c>
      <c r="D149" t="s">
        <v>82</v>
      </c>
      <c r="E149" t="s">
        <v>266</v>
      </c>
      <c r="F149" t="s">
        <v>18</v>
      </c>
      <c r="G149" t="s">
        <v>45</v>
      </c>
      <c r="H149" t="s">
        <v>46</v>
      </c>
      <c r="I149">
        <v>4</v>
      </c>
      <c r="J149">
        <v>339.94</v>
      </c>
      <c r="K149">
        <v>0</v>
      </c>
      <c r="L149">
        <v>1359.76</v>
      </c>
      <c r="M149">
        <v>1096.67</v>
      </c>
      <c r="N149">
        <v>1446.83</v>
      </c>
    </row>
    <row r="150" spans="1:14" ht="13.8">
      <c r="A150" t="s">
        <v>298</v>
      </c>
      <c r="B150" s="21">
        <v>45979</v>
      </c>
      <c r="C150" t="s">
        <v>22</v>
      </c>
      <c r="D150" t="s">
        <v>82</v>
      </c>
      <c r="E150" t="s">
        <v>98</v>
      </c>
      <c r="F150" t="s">
        <v>32</v>
      </c>
      <c r="G150" t="s">
        <v>26</v>
      </c>
      <c r="H150" t="s">
        <v>40</v>
      </c>
      <c r="I150">
        <v>6</v>
      </c>
      <c r="J150">
        <v>431.78</v>
      </c>
      <c r="K150">
        <v>0.05</v>
      </c>
      <c r="L150">
        <v>2461.15</v>
      </c>
      <c r="M150">
        <v>1959.58</v>
      </c>
      <c r="N150">
        <v>2606</v>
      </c>
    </row>
    <row r="151" spans="1:14" ht="13.8">
      <c r="A151" t="s">
        <v>299</v>
      </c>
      <c r="B151" s="21">
        <v>45763</v>
      </c>
      <c r="C151" t="s">
        <v>29</v>
      </c>
      <c r="D151" t="s">
        <v>68</v>
      </c>
      <c r="E151" t="s">
        <v>115</v>
      </c>
      <c r="F151" t="s">
        <v>18</v>
      </c>
      <c r="G151" t="s">
        <v>26</v>
      </c>
      <c r="H151" t="s">
        <v>27</v>
      </c>
      <c r="I151">
        <v>5</v>
      </c>
      <c r="J151">
        <v>317.7</v>
      </c>
      <c r="K151">
        <v>0.08</v>
      </c>
      <c r="L151">
        <v>1461.42</v>
      </c>
      <c r="M151">
        <v>1037.99</v>
      </c>
      <c r="N151">
        <v>1419.09</v>
      </c>
    </row>
    <row r="152" spans="1:14" ht="13.8">
      <c r="A152" t="s">
        <v>300</v>
      </c>
      <c r="B152" s="21">
        <v>45836</v>
      </c>
      <c r="C152" t="s">
        <v>29</v>
      </c>
      <c r="D152" t="s">
        <v>68</v>
      </c>
      <c r="E152" t="s">
        <v>213</v>
      </c>
      <c r="F152" t="s">
        <v>32</v>
      </c>
      <c r="G152" t="s">
        <v>33</v>
      </c>
      <c r="H152" t="s">
        <v>43</v>
      </c>
      <c r="I152">
        <v>6</v>
      </c>
      <c r="J152">
        <v>75.16</v>
      </c>
      <c r="K152">
        <v>0.05</v>
      </c>
      <c r="L152">
        <v>428.41</v>
      </c>
      <c r="M152">
        <v>319.45</v>
      </c>
      <c r="N152">
        <v>453.29</v>
      </c>
    </row>
    <row r="153" spans="1:14" ht="13.8">
      <c r="A153" t="s">
        <v>301</v>
      </c>
      <c r="B153" s="21">
        <v>45954</v>
      </c>
      <c r="C153" t="s">
        <v>29</v>
      </c>
      <c r="D153" t="s">
        <v>30</v>
      </c>
      <c r="E153" t="s">
        <v>104</v>
      </c>
      <c r="F153" t="s">
        <v>25</v>
      </c>
      <c r="G153" t="s">
        <v>26</v>
      </c>
      <c r="H153" t="s">
        <v>39</v>
      </c>
      <c r="I153">
        <v>3</v>
      </c>
      <c r="J153">
        <v>216.35</v>
      </c>
      <c r="K153">
        <v>0.1</v>
      </c>
      <c r="L153">
        <v>584.14</v>
      </c>
      <c r="M153">
        <v>464.23</v>
      </c>
      <c r="N153">
        <v>547.4</v>
      </c>
    </row>
    <row r="154" spans="1:14" ht="13.8">
      <c r="A154" t="s">
        <v>302</v>
      </c>
      <c r="B154" s="21">
        <v>45737</v>
      </c>
      <c r="C154" t="s">
        <v>29</v>
      </c>
      <c r="D154" t="s">
        <v>30</v>
      </c>
      <c r="E154" t="s">
        <v>303</v>
      </c>
      <c r="F154" t="s">
        <v>18</v>
      </c>
      <c r="G154" t="s">
        <v>26</v>
      </c>
      <c r="H154" t="s">
        <v>39</v>
      </c>
      <c r="I154">
        <v>12</v>
      </c>
      <c r="J154">
        <v>216.18</v>
      </c>
      <c r="K154">
        <v>0.08</v>
      </c>
      <c r="L154">
        <v>2386.63</v>
      </c>
      <c r="M154">
        <v>1615.03</v>
      </c>
      <c r="N154">
        <v>2235.54</v>
      </c>
    </row>
    <row r="155" spans="1:14" ht="13.8">
      <c r="A155" t="s">
        <v>304</v>
      </c>
      <c r="B155" s="21">
        <v>45742</v>
      </c>
      <c r="C155" t="s">
        <v>67</v>
      </c>
      <c r="D155" t="s">
        <v>68</v>
      </c>
      <c r="E155" t="s">
        <v>305</v>
      </c>
      <c r="F155" t="s">
        <v>25</v>
      </c>
      <c r="G155" t="s">
        <v>45</v>
      </c>
      <c r="H155" t="s">
        <v>44</v>
      </c>
      <c r="I155">
        <v>2</v>
      </c>
      <c r="J155">
        <v>252.08</v>
      </c>
      <c r="K155">
        <v>0.02</v>
      </c>
      <c r="L155">
        <v>494.08</v>
      </c>
      <c r="M155">
        <v>403.39</v>
      </c>
      <c r="N155">
        <v>529.04999999999995</v>
      </c>
    </row>
    <row r="156" spans="1:14" ht="13.8">
      <c r="A156" t="s">
        <v>306</v>
      </c>
      <c r="B156" s="21">
        <v>45713</v>
      </c>
      <c r="C156" t="s">
        <v>15</v>
      </c>
      <c r="D156" t="s">
        <v>68</v>
      </c>
      <c r="E156" t="s">
        <v>307</v>
      </c>
      <c r="F156" t="s">
        <v>74</v>
      </c>
      <c r="G156" t="s">
        <v>45</v>
      </c>
      <c r="H156" t="s">
        <v>44</v>
      </c>
      <c r="I156">
        <v>15</v>
      </c>
      <c r="J156">
        <v>249.78</v>
      </c>
      <c r="K156">
        <v>0.02</v>
      </c>
      <c r="L156">
        <v>3671.77</v>
      </c>
      <c r="M156">
        <v>2918.16</v>
      </c>
      <c r="N156">
        <v>3639.97</v>
      </c>
    </row>
    <row r="157" spans="1:14" ht="13.8">
      <c r="A157" t="s">
        <v>308</v>
      </c>
      <c r="B157" s="21">
        <v>46013</v>
      </c>
      <c r="C157" t="s">
        <v>22</v>
      </c>
      <c r="D157" t="s">
        <v>16</v>
      </c>
      <c r="E157" t="s">
        <v>87</v>
      </c>
      <c r="F157" t="s">
        <v>25</v>
      </c>
      <c r="G157" t="s">
        <v>26</v>
      </c>
      <c r="H157" t="s">
        <v>39</v>
      </c>
      <c r="I157">
        <v>9</v>
      </c>
      <c r="J157">
        <v>230.58</v>
      </c>
      <c r="K157">
        <v>0.03</v>
      </c>
      <c r="L157">
        <v>2012.96</v>
      </c>
      <c r="M157">
        <v>1412.94</v>
      </c>
      <c r="N157">
        <v>1839.92</v>
      </c>
    </row>
    <row r="158" spans="1:14" ht="13.8">
      <c r="A158" t="s">
        <v>309</v>
      </c>
      <c r="B158" s="21">
        <v>45878</v>
      </c>
      <c r="C158" t="s">
        <v>29</v>
      </c>
      <c r="D158" t="s">
        <v>82</v>
      </c>
      <c r="E158" t="s">
        <v>310</v>
      </c>
      <c r="F158" t="s">
        <v>18</v>
      </c>
      <c r="G158" t="s">
        <v>45</v>
      </c>
      <c r="H158" t="s">
        <v>46</v>
      </c>
      <c r="I158">
        <v>10</v>
      </c>
      <c r="J158">
        <v>342.97</v>
      </c>
      <c r="K158">
        <v>0.1</v>
      </c>
      <c r="L158">
        <v>3086.73</v>
      </c>
      <c r="M158">
        <v>2138.04</v>
      </c>
      <c r="N158">
        <v>2885.65</v>
      </c>
    </row>
    <row r="159" spans="1:14" ht="13.8">
      <c r="A159" t="s">
        <v>311</v>
      </c>
      <c r="B159" s="21">
        <v>45890</v>
      </c>
      <c r="C159" t="s">
        <v>22</v>
      </c>
      <c r="D159" t="s">
        <v>82</v>
      </c>
      <c r="E159" t="s">
        <v>312</v>
      </c>
      <c r="F159" t="s">
        <v>25</v>
      </c>
      <c r="G159" t="s">
        <v>33</v>
      </c>
      <c r="H159" t="s">
        <v>34</v>
      </c>
      <c r="I159">
        <v>6</v>
      </c>
      <c r="J159">
        <v>34.159999999999997</v>
      </c>
      <c r="K159">
        <v>0.1</v>
      </c>
      <c r="L159">
        <v>184.46</v>
      </c>
      <c r="M159">
        <v>114.65</v>
      </c>
      <c r="N159">
        <v>180.9</v>
      </c>
    </row>
    <row r="160" spans="1:14" ht="13.8">
      <c r="A160" t="s">
        <v>313</v>
      </c>
      <c r="B160" s="21">
        <v>45786</v>
      </c>
      <c r="C160" t="s">
        <v>29</v>
      </c>
      <c r="D160" t="s">
        <v>82</v>
      </c>
      <c r="E160" t="s">
        <v>120</v>
      </c>
      <c r="F160" t="s">
        <v>18</v>
      </c>
      <c r="G160" t="s">
        <v>33</v>
      </c>
      <c r="H160" t="s">
        <v>34</v>
      </c>
      <c r="I160">
        <v>8</v>
      </c>
      <c r="J160">
        <v>34.840000000000003</v>
      </c>
      <c r="K160">
        <v>0.08</v>
      </c>
      <c r="L160">
        <v>256.42</v>
      </c>
      <c r="M160">
        <v>202.28</v>
      </c>
      <c r="N160">
        <v>257.54000000000002</v>
      </c>
    </row>
    <row r="161" spans="1:14" ht="13.8">
      <c r="A161" t="s">
        <v>314</v>
      </c>
      <c r="B161" s="21">
        <v>45857</v>
      </c>
      <c r="C161" t="s">
        <v>29</v>
      </c>
      <c r="D161" t="s">
        <v>64</v>
      </c>
      <c r="E161" t="s">
        <v>145</v>
      </c>
      <c r="F161" t="s">
        <v>18</v>
      </c>
      <c r="G161" t="s">
        <v>33</v>
      </c>
      <c r="H161" t="s">
        <v>41</v>
      </c>
      <c r="I161">
        <v>15</v>
      </c>
      <c r="J161">
        <v>89.03</v>
      </c>
      <c r="K161">
        <v>0</v>
      </c>
      <c r="L161">
        <v>1335.45</v>
      </c>
      <c r="M161">
        <v>875.08</v>
      </c>
      <c r="N161">
        <v>1245.03</v>
      </c>
    </row>
    <row r="162" spans="1:14" ht="13.8">
      <c r="A162" t="s">
        <v>315</v>
      </c>
      <c r="B162" s="21">
        <v>45952</v>
      </c>
      <c r="C162" t="s">
        <v>67</v>
      </c>
      <c r="D162" t="s">
        <v>64</v>
      </c>
      <c r="E162" t="s">
        <v>316</v>
      </c>
      <c r="F162" t="s">
        <v>74</v>
      </c>
      <c r="G162" t="s">
        <v>33</v>
      </c>
      <c r="H162" t="s">
        <v>41</v>
      </c>
      <c r="I162">
        <v>9</v>
      </c>
      <c r="J162">
        <v>82.49</v>
      </c>
      <c r="K162">
        <v>0.05</v>
      </c>
      <c r="L162">
        <v>705.29</v>
      </c>
      <c r="M162">
        <v>502.65</v>
      </c>
      <c r="N162">
        <v>728.86</v>
      </c>
    </row>
    <row r="163" spans="1:14" ht="13.8">
      <c r="A163" t="s">
        <v>317</v>
      </c>
      <c r="B163" s="21">
        <v>45891</v>
      </c>
      <c r="C163" t="s">
        <v>67</v>
      </c>
      <c r="D163" t="s">
        <v>82</v>
      </c>
      <c r="E163" t="s">
        <v>277</v>
      </c>
      <c r="F163" t="s">
        <v>32</v>
      </c>
      <c r="G163" t="s">
        <v>26</v>
      </c>
      <c r="H163" t="s">
        <v>39</v>
      </c>
      <c r="I163">
        <v>11</v>
      </c>
      <c r="J163">
        <v>213.04</v>
      </c>
      <c r="K163">
        <v>0.08</v>
      </c>
      <c r="L163">
        <v>2155.96</v>
      </c>
      <c r="M163">
        <v>1655.33</v>
      </c>
      <c r="N163">
        <v>1960.58</v>
      </c>
    </row>
    <row r="164" spans="1:14" ht="13.8">
      <c r="A164" t="s">
        <v>318</v>
      </c>
      <c r="B164" s="21">
        <v>45798</v>
      </c>
      <c r="C164" t="s">
        <v>67</v>
      </c>
      <c r="D164" t="s">
        <v>64</v>
      </c>
      <c r="E164" t="s">
        <v>228</v>
      </c>
      <c r="F164" t="s">
        <v>18</v>
      </c>
      <c r="G164" t="s">
        <v>33</v>
      </c>
      <c r="H164" t="s">
        <v>34</v>
      </c>
      <c r="I164">
        <v>7</v>
      </c>
      <c r="J164">
        <v>33.47</v>
      </c>
      <c r="K164">
        <v>0</v>
      </c>
      <c r="L164">
        <v>234.29</v>
      </c>
      <c r="M164">
        <v>162.15</v>
      </c>
      <c r="N164">
        <v>229.82</v>
      </c>
    </row>
    <row r="165" spans="1:14" ht="13.8">
      <c r="A165" t="s">
        <v>319</v>
      </c>
      <c r="B165" s="21">
        <v>45772</v>
      </c>
      <c r="C165" t="s">
        <v>22</v>
      </c>
      <c r="D165" t="s">
        <v>68</v>
      </c>
      <c r="E165" t="s">
        <v>65</v>
      </c>
      <c r="F165" t="s">
        <v>25</v>
      </c>
      <c r="G165" t="s">
        <v>26</v>
      </c>
      <c r="H165" t="s">
        <v>27</v>
      </c>
      <c r="I165">
        <v>12</v>
      </c>
      <c r="J165">
        <v>316.82</v>
      </c>
      <c r="K165">
        <v>0.08</v>
      </c>
      <c r="L165">
        <v>3497.69</v>
      </c>
      <c r="M165">
        <v>2846.18</v>
      </c>
      <c r="N165">
        <v>3912.57</v>
      </c>
    </row>
    <row r="166" spans="1:14" ht="13.8">
      <c r="A166" t="s">
        <v>320</v>
      </c>
      <c r="B166" s="21">
        <v>45724</v>
      </c>
      <c r="C166" t="s">
        <v>29</v>
      </c>
      <c r="D166" t="s">
        <v>23</v>
      </c>
      <c r="E166" t="s">
        <v>215</v>
      </c>
      <c r="F166" t="s">
        <v>74</v>
      </c>
      <c r="G166" t="s">
        <v>45</v>
      </c>
      <c r="H166" t="s">
        <v>47</v>
      </c>
      <c r="I166">
        <v>2</v>
      </c>
      <c r="J166">
        <v>433</v>
      </c>
      <c r="K166">
        <v>0.1</v>
      </c>
      <c r="L166">
        <v>779.4</v>
      </c>
      <c r="M166">
        <v>500.76</v>
      </c>
      <c r="N166">
        <v>806</v>
      </c>
    </row>
    <row r="167" spans="1:14" ht="13.8">
      <c r="A167" t="s">
        <v>321</v>
      </c>
      <c r="B167" s="21">
        <v>45897</v>
      </c>
      <c r="C167" t="s">
        <v>29</v>
      </c>
      <c r="D167" t="s">
        <v>30</v>
      </c>
      <c r="E167" t="s">
        <v>322</v>
      </c>
      <c r="F167" t="s">
        <v>74</v>
      </c>
      <c r="G167" t="s">
        <v>26</v>
      </c>
      <c r="H167" t="s">
        <v>27</v>
      </c>
      <c r="I167">
        <v>13</v>
      </c>
      <c r="J167">
        <v>321.54000000000002</v>
      </c>
      <c r="K167">
        <v>0.02</v>
      </c>
      <c r="L167">
        <v>4096.42</v>
      </c>
      <c r="M167">
        <v>3160.66</v>
      </c>
      <c r="N167">
        <v>4066.34</v>
      </c>
    </row>
    <row r="168" spans="1:14" ht="13.8">
      <c r="A168" t="s">
        <v>323</v>
      </c>
      <c r="B168" s="21">
        <v>46009</v>
      </c>
      <c r="C168" t="s">
        <v>67</v>
      </c>
      <c r="D168" t="s">
        <v>30</v>
      </c>
      <c r="E168" t="s">
        <v>254</v>
      </c>
      <c r="F168" t="s">
        <v>32</v>
      </c>
      <c r="G168" t="s">
        <v>26</v>
      </c>
      <c r="H168" t="s">
        <v>27</v>
      </c>
      <c r="I168">
        <v>7</v>
      </c>
      <c r="J168">
        <v>325.72000000000003</v>
      </c>
      <c r="K168">
        <v>0.05</v>
      </c>
      <c r="L168">
        <v>2166.04</v>
      </c>
      <c r="M168">
        <v>1300.9100000000001</v>
      </c>
      <c r="N168">
        <v>2281.34</v>
      </c>
    </row>
    <row r="169" spans="1:14" ht="13.8">
      <c r="A169" t="s">
        <v>324</v>
      </c>
      <c r="B169" s="21">
        <v>45822</v>
      </c>
      <c r="C169" t="s">
        <v>29</v>
      </c>
      <c r="D169" t="s">
        <v>30</v>
      </c>
      <c r="E169" t="s">
        <v>307</v>
      </c>
      <c r="F169" t="s">
        <v>74</v>
      </c>
      <c r="G169" t="s">
        <v>33</v>
      </c>
      <c r="H169" t="s">
        <v>41</v>
      </c>
      <c r="I169">
        <v>8</v>
      </c>
      <c r="J169">
        <v>84.39</v>
      </c>
      <c r="K169">
        <v>0.1</v>
      </c>
      <c r="L169">
        <v>607.61</v>
      </c>
      <c r="M169">
        <v>375.98</v>
      </c>
      <c r="N169">
        <v>665.51</v>
      </c>
    </row>
    <row r="170" spans="1:14" ht="13.8">
      <c r="A170" t="s">
        <v>325</v>
      </c>
      <c r="B170" s="21">
        <v>45687</v>
      </c>
      <c r="C170" t="s">
        <v>67</v>
      </c>
      <c r="D170" t="s">
        <v>82</v>
      </c>
      <c r="E170" t="s">
        <v>326</v>
      </c>
      <c r="F170" t="s">
        <v>18</v>
      </c>
      <c r="G170" t="s">
        <v>19</v>
      </c>
      <c r="H170" t="s">
        <v>37</v>
      </c>
      <c r="I170">
        <v>14</v>
      </c>
      <c r="J170">
        <v>1107.0999999999999</v>
      </c>
      <c r="K170">
        <v>0.03</v>
      </c>
      <c r="L170">
        <v>15034.42</v>
      </c>
      <c r="M170">
        <v>11613.92</v>
      </c>
      <c r="N170">
        <v>13736.9</v>
      </c>
    </row>
    <row r="171" spans="1:14" ht="13.8">
      <c r="A171" t="s">
        <v>327</v>
      </c>
      <c r="B171" s="21">
        <v>45994</v>
      </c>
      <c r="C171" t="s">
        <v>29</v>
      </c>
      <c r="D171" t="s">
        <v>23</v>
      </c>
      <c r="E171" t="s">
        <v>310</v>
      </c>
      <c r="F171" t="s">
        <v>74</v>
      </c>
      <c r="G171" t="s">
        <v>19</v>
      </c>
      <c r="H171" t="s">
        <v>20</v>
      </c>
      <c r="I171">
        <v>4</v>
      </c>
      <c r="J171">
        <v>888.4</v>
      </c>
      <c r="K171">
        <v>0.1</v>
      </c>
      <c r="L171">
        <v>3198.24</v>
      </c>
      <c r="M171">
        <v>2125.1</v>
      </c>
      <c r="N171">
        <v>3281.29</v>
      </c>
    </row>
    <row r="172" spans="1:14" ht="13.8">
      <c r="A172" t="s">
        <v>328</v>
      </c>
      <c r="B172" s="21">
        <v>45835</v>
      </c>
      <c r="C172" t="s">
        <v>15</v>
      </c>
      <c r="D172" t="s">
        <v>82</v>
      </c>
      <c r="E172" t="s">
        <v>94</v>
      </c>
      <c r="F172" t="s">
        <v>32</v>
      </c>
      <c r="G172" t="s">
        <v>45</v>
      </c>
      <c r="H172" t="s">
        <v>47</v>
      </c>
      <c r="I172">
        <v>3</v>
      </c>
      <c r="J172">
        <v>407.76</v>
      </c>
      <c r="K172">
        <v>0.05</v>
      </c>
      <c r="L172">
        <v>1162.1199999999999</v>
      </c>
      <c r="M172">
        <v>899.68</v>
      </c>
      <c r="N172">
        <v>1069.5</v>
      </c>
    </row>
    <row r="173" spans="1:14" ht="13.8">
      <c r="A173" t="s">
        <v>329</v>
      </c>
      <c r="B173" s="21">
        <v>45759</v>
      </c>
      <c r="C173" t="s">
        <v>15</v>
      </c>
      <c r="D173" t="s">
        <v>64</v>
      </c>
      <c r="E173" t="s">
        <v>330</v>
      </c>
      <c r="F173" t="s">
        <v>32</v>
      </c>
      <c r="G173" t="s">
        <v>33</v>
      </c>
      <c r="H173" t="s">
        <v>41</v>
      </c>
      <c r="I173">
        <v>12</v>
      </c>
      <c r="J173">
        <v>82.56</v>
      </c>
      <c r="K173">
        <v>0</v>
      </c>
      <c r="L173">
        <v>990.72</v>
      </c>
      <c r="M173">
        <v>756.14</v>
      </c>
      <c r="N173">
        <v>976.12</v>
      </c>
    </row>
    <row r="174" spans="1:14" ht="13.8">
      <c r="A174" t="s">
        <v>331</v>
      </c>
      <c r="B174" s="21">
        <v>45872</v>
      </c>
      <c r="C174" t="s">
        <v>29</v>
      </c>
      <c r="D174" t="s">
        <v>82</v>
      </c>
      <c r="E174" t="s">
        <v>170</v>
      </c>
      <c r="F174" t="s">
        <v>25</v>
      </c>
      <c r="G174" t="s">
        <v>26</v>
      </c>
      <c r="H174" t="s">
        <v>39</v>
      </c>
      <c r="I174">
        <v>14</v>
      </c>
      <c r="J174">
        <v>212.07</v>
      </c>
      <c r="K174">
        <v>0.05</v>
      </c>
      <c r="L174">
        <v>2820.53</v>
      </c>
      <c r="M174">
        <v>2038.07</v>
      </c>
      <c r="N174">
        <v>2809.95</v>
      </c>
    </row>
    <row r="175" spans="1:14" ht="13.8">
      <c r="A175" t="s">
        <v>332</v>
      </c>
      <c r="B175" s="21">
        <v>45913</v>
      </c>
      <c r="C175" t="s">
        <v>22</v>
      </c>
      <c r="D175" t="s">
        <v>82</v>
      </c>
      <c r="E175" t="s">
        <v>333</v>
      </c>
      <c r="F175" t="s">
        <v>74</v>
      </c>
      <c r="G175" t="s">
        <v>19</v>
      </c>
      <c r="H175" t="s">
        <v>38</v>
      </c>
      <c r="I175">
        <v>9</v>
      </c>
      <c r="J175">
        <v>959.46</v>
      </c>
      <c r="K175">
        <v>0.1</v>
      </c>
      <c r="L175">
        <v>7771.63</v>
      </c>
      <c r="M175">
        <v>4674.2700000000004</v>
      </c>
      <c r="N175">
        <v>8407.23</v>
      </c>
    </row>
    <row r="176" spans="1:14" ht="13.8">
      <c r="A176" t="s">
        <v>334</v>
      </c>
      <c r="B176" s="21">
        <v>45998</v>
      </c>
      <c r="C176" t="s">
        <v>15</v>
      </c>
      <c r="D176" t="s">
        <v>23</v>
      </c>
      <c r="E176" t="s">
        <v>139</v>
      </c>
      <c r="F176" t="s">
        <v>32</v>
      </c>
      <c r="G176" t="s">
        <v>26</v>
      </c>
      <c r="H176" t="s">
        <v>27</v>
      </c>
      <c r="I176">
        <v>14</v>
      </c>
      <c r="J176">
        <v>318.89999999999998</v>
      </c>
      <c r="K176">
        <v>0.05</v>
      </c>
      <c r="L176">
        <v>4241.37</v>
      </c>
      <c r="M176">
        <v>2935.62</v>
      </c>
      <c r="N176">
        <v>4710.24</v>
      </c>
    </row>
    <row r="177" spans="1:14" ht="13.8">
      <c r="A177" t="s">
        <v>335</v>
      </c>
      <c r="B177" s="21">
        <v>45983</v>
      </c>
      <c r="C177" t="s">
        <v>67</v>
      </c>
      <c r="D177" t="s">
        <v>16</v>
      </c>
      <c r="E177" t="s">
        <v>336</v>
      </c>
      <c r="F177" t="s">
        <v>74</v>
      </c>
      <c r="G177" t="s">
        <v>45</v>
      </c>
      <c r="H177" t="s">
        <v>44</v>
      </c>
      <c r="I177">
        <v>1</v>
      </c>
      <c r="J177">
        <v>247.53</v>
      </c>
      <c r="K177">
        <v>0</v>
      </c>
      <c r="L177">
        <v>247.53</v>
      </c>
      <c r="M177">
        <v>185.69</v>
      </c>
      <c r="N177">
        <v>273.16000000000003</v>
      </c>
    </row>
    <row r="178" spans="1:14" ht="13.8">
      <c r="A178" t="s">
        <v>337</v>
      </c>
      <c r="B178" s="21">
        <v>45906</v>
      </c>
      <c r="C178" t="s">
        <v>67</v>
      </c>
      <c r="D178" t="s">
        <v>16</v>
      </c>
      <c r="E178" t="s">
        <v>224</v>
      </c>
      <c r="F178" t="s">
        <v>32</v>
      </c>
      <c r="G178" t="s">
        <v>45</v>
      </c>
      <c r="H178" t="s">
        <v>47</v>
      </c>
      <c r="I178">
        <v>15</v>
      </c>
      <c r="J178">
        <v>405.07</v>
      </c>
      <c r="K178">
        <v>0.02</v>
      </c>
      <c r="L178">
        <v>5954.53</v>
      </c>
      <c r="M178">
        <v>4513.54</v>
      </c>
      <c r="N178">
        <v>6133.56</v>
      </c>
    </row>
    <row r="179" spans="1:14" ht="13.8">
      <c r="A179" t="s">
        <v>338</v>
      </c>
      <c r="B179" s="21">
        <v>45832</v>
      </c>
      <c r="C179" t="s">
        <v>67</v>
      </c>
      <c r="D179" t="s">
        <v>64</v>
      </c>
      <c r="E179" t="s">
        <v>143</v>
      </c>
      <c r="F179" t="s">
        <v>32</v>
      </c>
      <c r="G179" t="s">
        <v>33</v>
      </c>
      <c r="H179" t="s">
        <v>41</v>
      </c>
      <c r="I179">
        <v>13</v>
      </c>
      <c r="J179">
        <v>85.22</v>
      </c>
      <c r="K179">
        <v>0.02</v>
      </c>
      <c r="L179">
        <v>1085.7</v>
      </c>
      <c r="M179">
        <v>719.29</v>
      </c>
      <c r="N179">
        <v>1044.52</v>
      </c>
    </row>
    <row r="180" spans="1:14" ht="13.8">
      <c r="A180" t="s">
        <v>339</v>
      </c>
      <c r="B180" s="21">
        <v>45807</v>
      </c>
      <c r="C180" t="s">
        <v>67</v>
      </c>
      <c r="D180" t="s">
        <v>23</v>
      </c>
      <c r="E180" t="s">
        <v>166</v>
      </c>
      <c r="F180" t="s">
        <v>74</v>
      </c>
      <c r="G180" t="s">
        <v>26</v>
      </c>
      <c r="H180" t="s">
        <v>40</v>
      </c>
      <c r="I180">
        <v>14</v>
      </c>
      <c r="J180">
        <v>449.72</v>
      </c>
      <c r="K180">
        <v>0.03</v>
      </c>
      <c r="L180">
        <v>6107.2</v>
      </c>
      <c r="M180">
        <v>4341.1499999999996</v>
      </c>
      <c r="N180">
        <v>5772.57</v>
      </c>
    </row>
    <row r="181" spans="1:14" ht="13.8">
      <c r="A181" t="s">
        <v>340</v>
      </c>
      <c r="B181" s="21">
        <v>45718</v>
      </c>
      <c r="C181" t="s">
        <v>15</v>
      </c>
      <c r="D181" t="s">
        <v>16</v>
      </c>
      <c r="E181" t="s">
        <v>156</v>
      </c>
      <c r="F181" t="s">
        <v>74</v>
      </c>
      <c r="G181" t="s">
        <v>26</v>
      </c>
      <c r="H181" t="s">
        <v>40</v>
      </c>
      <c r="I181">
        <v>4</v>
      </c>
      <c r="J181">
        <v>441.77</v>
      </c>
      <c r="K181">
        <v>0.03</v>
      </c>
      <c r="L181">
        <v>1714.07</v>
      </c>
      <c r="M181">
        <v>1076.55</v>
      </c>
      <c r="N181">
        <v>1908.55</v>
      </c>
    </row>
    <row r="182" spans="1:14" ht="13.8">
      <c r="A182" t="s">
        <v>341</v>
      </c>
      <c r="B182" s="21">
        <v>45937</v>
      </c>
      <c r="C182" t="s">
        <v>22</v>
      </c>
      <c r="D182" t="s">
        <v>64</v>
      </c>
      <c r="E182" t="s">
        <v>342</v>
      </c>
      <c r="F182" t="s">
        <v>18</v>
      </c>
      <c r="G182" t="s">
        <v>33</v>
      </c>
      <c r="H182" t="s">
        <v>43</v>
      </c>
      <c r="I182">
        <v>1</v>
      </c>
      <c r="J182">
        <v>74.239999999999995</v>
      </c>
      <c r="K182">
        <v>0</v>
      </c>
      <c r="L182">
        <v>74.239999999999995</v>
      </c>
      <c r="M182">
        <v>44.65</v>
      </c>
      <c r="N182">
        <v>68.72</v>
      </c>
    </row>
    <row r="183" spans="1:14" ht="13.8">
      <c r="A183" t="s">
        <v>343</v>
      </c>
      <c r="B183" s="21">
        <v>45914</v>
      </c>
      <c r="C183" t="s">
        <v>15</v>
      </c>
      <c r="D183" t="s">
        <v>23</v>
      </c>
      <c r="E183" t="s">
        <v>135</v>
      </c>
      <c r="F183" t="s">
        <v>74</v>
      </c>
      <c r="G183" t="s">
        <v>33</v>
      </c>
      <c r="H183" t="s">
        <v>42</v>
      </c>
      <c r="I183">
        <v>10</v>
      </c>
      <c r="J183">
        <v>59.26</v>
      </c>
      <c r="K183">
        <v>0.02</v>
      </c>
      <c r="L183">
        <v>580.75</v>
      </c>
      <c r="M183">
        <v>428.53</v>
      </c>
      <c r="N183">
        <v>608.12</v>
      </c>
    </row>
    <row r="184" spans="1:14" ht="13.8">
      <c r="A184" t="s">
        <v>344</v>
      </c>
      <c r="B184" s="21">
        <v>45978</v>
      </c>
      <c r="C184" t="s">
        <v>15</v>
      </c>
      <c r="D184" t="s">
        <v>82</v>
      </c>
      <c r="E184" t="s">
        <v>24</v>
      </c>
      <c r="F184" t="s">
        <v>32</v>
      </c>
      <c r="G184" t="s">
        <v>45</v>
      </c>
      <c r="H184" t="s">
        <v>47</v>
      </c>
      <c r="I184">
        <v>3</v>
      </c>
      <c r="J184">
        <v>403.26</v>
      </c>
      <c r="K184">
        <v>0.02</v>
      </c>
      <c r="L184">
        <v>1185.58</v>
      </c>
      <c r="M184">
        <v>938.06</v>
      </c>
      <c r="N184">
        <v>1163.26</v>
      </c>
    </row>
    <row r="185" spans="1:14" ht="13.8">
      <c r="A185" t="s">
        <v>345</v>
      </c>
      <c r="B185" s="21">
        <v>45729</v>
      </c>
      <c r="C185" t="s">
        <v>15</v>
      </c>
      <c r="D185" t="s">
        <v>30</v>
      </c>
      <c r="E185" t="s">
        <v>31</v>
      </c>
      <c r="F185" t="s">
        <v>74</v>
      </c>
      <c r="G185" t="s">
        <v>45</v>
      </c>
      <c r="H185" t="s">
        <v>47</v>
      </c>
      <c r="I185">
        <v>5</v>
      </c>
      <c r="J185">
        <v>422.61</v>
      </c>
      <c r="K185">
        <v>0.03</v>
      </c>
      <c r="L185">
        <v>2049.66</v>
      </c>
      <c r="M185">
        <v>1618.7</v>
      </c>
      <c r="N185">
        <v>1894.6</v>
      </c>
    </row>
    <row r="186" spans="1:14" ht="13.8">
      <c r="A186" t="s">
        <v>346</v>
      </c>
      <c r="B186" s="21">
        <v>45947</v>
      </c>
      <c r="C186" t="s">
        <v>15</v>
      </c>
      <c r="D186" t="s">
        <v>68</v>
      </c>
      <c r="E186" t="s">
        <v>195</v>
      </c>
      <c r="F186" t="s">
        <v>74</v>
      </c>
      <c r="G186" t="s">
        <v>45</v>
      </c>
      <c r="H186" t="s">
        <v>44</v>
      </c>
      <c r="I186">
        <v>10</v>
      </c>
      <c r="J186">
        <v>271.27999999999997</v>
      </c>
      <c r="K186">
        <v>0</v>
      </c>
      <c r="L186">
        <v>2712.8</v>
      </c>
      <c r="M186">
        <v>1924.75</v>
      </c>
      <c r="N186">
        <v>2727.22</v>
      </c>
    </row>
    <row r="187" spans="1:14" ht="13.8">
      <c r="A187" t="s">
        <v>347</v>
      </c>
      <c r="B187" s="21">
        <v>45886</v>
      </c>
      <c r="C187" t="s">
        <v>29</v>
      </c>
      <c r="D187" t="s">
        <v>68</v>
      </c>
      <c r="E187" t="s">
        <v>342</v>
      </c>
      <c r="F187" t="s">
        <v>74</v>
      </c>
      <c r="G187" t="s">
        <v>19</v>
      </c>
      <c r="H187" t="s">
        <v>37</v>
      </c>
      <c r="I187">
        <v>1</v>
      </c>
      <c r="J187">
        <v>1119.8</v>
      </c>
      <c r="K187">
        <v>0.08</v>
      </c>
      <c r="L187">
        <v>1030.22</v>
      </c>
      <c r="M187">
        <v>752.3</v>
      </c>
      <c r="N187">
        <v>1138.45</v>
      </c>
    </row>
    <row r="188" spans="1:14" ht="13.8">
      <c r="A188" t="s">
        <v>348</v>
      </c>
      <c r="B188" s="21">
        <v>45938</v>
      </c>
      <c r="C188" t="s">
        <v>22</v>
      </c>
      <c r="D188" t="s">
        <v>16</v>
      </c>
      <c r="E188" t="s">
        <v>24</v>
      </c>
      <c r="F188" t="s">
        <v>18</v>
      </c>
      <c r="G188" t="s">
        <v>19</v>
      </c>
      <c r="H188" t="s">
        <v>37</v>
      </c>
      <c r="I188">
        <v>2</v>
      </c>
      <c r="J188">
        <v>1115.9000000000001</v>
      </c>
      <c r="K188">
        <v>0.02</v>
      </c>
      <c r="L188">
        <v>2187.16</v>
      </c>
      <c r="M188">
        <v>1743.32</v>
      </c>
      <c r="N188">
        <v>2253.77</v>
      </c>
    </row>
    <row r="189" spans="1:14" ht="13.8">
      <c r="A189" t="s">
        <v>349</v>
      </c>
      <c r="B189" s="21">
        <v>45703</v>
      </c>
      <c r="C189" t="s">
        <v>29</v>
      </c>
      <c r="D189" t="s">
        <v>68</v>
      </c>
      <c r="E189" t="s">
        <v>303</v>
      </c>
      <c r="F189" t="s">
        <v>25</v>
      </c>
      <c r="G189" t="s">
        <v>26</v>
      </c>
      <c r="H189" t="s">
        <v>39</v>
      </c>
      <c r="I189">
        <v>14</v>
      </c>
      <c r="J189">
        <v>211.67</v>
      </c>
      <c r="K189">
        <v>0.05</v>
      </c>
      <c r="L189">
        <v>2815.21</v>
      </c>
      <c r="M189">
        <v>1700.14</v>
      </c>
      <c r="N189">
        <v>2963.41</v>
      </c>
    </row>
    <row r="190" spans="1:14" ht="13.8">
      <c r="A190" t="s">
        <v>350</v>
      </c>
      <c r="B190" s="21">
        <v>45683</v>
      </c>
      <c r="C190" t="s">
        <v>15</v>
      </c>
      <c r="D190" t="s">
        <v>30</v>
      </c>
      <c r="E190" t="s">
        <v>66</v>
      </c>
      <c r="F190" t="s">
        <v>74</v>
      </c>
      <c r="G190" t="s">
        <v>26</v>
      </c>
      <c r="H190" t="s">
        <v>40</v>
      </c>
      <c r="I190">
        <v>13</v>
      </c>
      <c r="J190">
        <v>461.13</v>
      </c>
      <c r="K190">
        <v>0.1</v>
      </c>
      <c r="L190">
        <v>5395.22</v>
      </c>
      <c r="M190">
        <v>4252.5600000000004</v>
      </c>
      <c r="N190">
        <v>5692.68</v>
      </c>
    </row>
    <row r="191" spans="1:14" ht="13.8">
      <c r="A191" t="s">
        <v>351</v>
      </c>
      <c r="B191" s="21">
        <v>45893</v>
      </c>
      <c r="C191" t="s">
        <v>15</v>
      </c>
      <c r="D191" t="s">
        <v>82</v>
      </c>
      <c r="E191" t="s">
        <v>352</v>
      </c>
      <c r="F191" t="s">
        <v>18</v>
      </c>
      <c r="G191" t="s">
        <v>45</v>
      </c>
      <c r="H191" t="s">
        <v>44</v>
      </c>
      <c r="I191">
        <v>15</v>
      </c>
      <c r="J191">
        <v>270.14</v>
      </c>
      <c r="K191">
        <v>0</v>
      </c>
      <c r="L191">
        <v>4052.1</v>
      </c>
      <c r="M191">
        <v>3070.63</v>
      </c>
      <c r="N191">
        <v>3576.94</v>
      </c>
    </row>
    <row r="192" spans="1:14" ht="13.8">
      <c r="A192" t="s">
        <v>353</v>
      </c>
      <c r="B192" s="21">
        <v>45857</v>
      </c>
      <c r="C192" t="s">
        <v>15</v>
      </c>
      <c r="D192" t="s">
        <v>30</v>
      </c>
      <c r="E192" t="s">
        <v>235</v>
      </c>
      <c r="F192" t="s">
        <v>74</v>
      </c>
      <c r="G192" t="s">
        <v>26</v>
      </c>
      <c r="H192" t="s">
        <v>27</v>
      </c>
      <c r="I192">
        <v>5</v>
      </c>
      <c r="J192">
        <v>327.33999999999997</v>
      </c>
      <c r="K192">
        <v>0.02</v>
      </c>
      <c r="L192">
        <v>1603.97</v>
      </c>
      <c r="M192">
        <v>1300.33</v>
      </c>
      <c r="N192">
        <v>1732.9</v>
      </c>
    </row>
    <row r="193" spans="1:14" ht="13.8">
      <c r="A193" t="s">
        <v>354</v>
      </c>
      <c r="B193" s="21">
        <v>45898</v>
      </c>
      <c r="C193" t="s">
        <v>22</v>
      </c>
      <c r="D193" t="s">
        <v>68</v>
      </c>
      <c r="E193" t="s">
        <v>85</v>
      </c>
      <c r="F193" t="s">
        <v>74</v>
      </c>
      <c r="G193" t="s">
        <v>45</v>
      </c>
      <c r="H193" t="s">
        <v>44</v>
      </c>
      <c r="I193">
        <v>3</v>
      </c>
      <c r="J193">
        <v>250.77</v>
      </c>
      <c r="K193">
        <v>0</v>
      </c>
      <c r="L193">
        <v>752.31</v>
      </c>
      <c r="M193">
        <v>511.51</v>
      </c>
      <c r="N193">
        <v>778.47</v>
      </c>
    </row>
    <row r="194" spans="1:14" ht="13.8">
      <c r="A194" t="s">
        <v>355</v>
      </c>
      <c r="B194" s="21">
        <v>45797</v>
      </c>
      <c r="C194" t="s">
        <v>67</v>
      </c>
      <c r="D194" t="s">
        <v>64</v>
      </c>
      <c r="E194" t="s">
        <v>356</v>
      </c>
      <c r="F194" t="s">
        <v>18</v>
      </c>
      <c r="G194" t="s">
        <v>45</v>
      </c>
      <c r="H194" t="s">
        <v>47</v>
      </c>
      <c r="I194">
        <v>13</v>
      </c>
      <c r="J194">
        <v>422.81</v>
      </c>
      <c r="K194">
        <v>0.03</v>
      </c>
      <c r="L194">
        <v>5331.63</v>
      </c>
      <c r="M194">
        <v>3527.3</v>
      </c>
      <c r="N194">
        <v>5487.54</v>
      </c>
    </row>
    <row r="195" spans="1:14" ht="13.8">
      <c r="A195" t="s">
        <v>357</v>
      </c>
      <c r="B195" s="21">
        <v>45735</v>
      </c>
      <c r="C195" t="s">
        <v>22</v>
      </c>
      <c r="D195" t="s">
        <v>82</v>
      </c>
      <c r="E195" t="s">
        <v>358</v>
      </c>
      <c r="F195" t="s">
        <v>25</v>
      </c>
      <c r="G195" t="s">
        <v>33</v>
      </c>
      <c r="H195" t="s">
        <v>43</v>
      </c>
      <c r="I195">
        <v>14</v>
      </c>
      <c r="J195">
        <v>73.56</v>
      </c>
      <c r="K195">
        <v>0.05</v>
      </c>
      <c r="L195">
        <v>978.35</v>
      </c>
      <c r="M195">
        <v>797.16</v>
      </c>
      <c r="N195">
        <v>918.74</v>
      </c>
    </row>
    <row r="196" spans="1:14" ht="13.8">
      <c r="A196" t="s">
        <v>359</v>
      </c>
      <c r="B196" s="21">
        <v>45889</v>
      </c>
      <c r="C196" t="s">
        <v>15</v>
      </c>
      <c r="D196" t="s">
        <v>30</v>
      </c>
      <c r="E196" t="s">
        <v>102</v>
      </c>
      <c r="F196" t="s">
        <v>25</v>
      </c>
      <c r="G196" t="s">
        <v>26</v>
      </c>
      <c r="H196" t="s">
        <v>27</v>
      </c>
      <c r="I196">
        <v>12</v>
      </c>
      <c r="J196">
        <v>304.05</v>
      </c>
      <c r="K196">
        <v>0.03</v>
      </c>
      <c r="L196">
        <v>3539.14</v>
      </c>
      <c r="M196">
        <v>2332.17</v>
      </c>
      <c r="N196">
        <v>3248.04</v>
      </c>
    </row>
    <row r="197" spans="1:14" ht="13.8">
      <c r="A197" t="s">
        <v>360</v>
      </c>
      <c r="B197" s="21">
        <v>45950</v>
      </c>
      <c r="C197" t="s">
        <v>67</v>
      </c>
      <c r="D197" t="s">
        <v>64</v>
      </c>
      <c r="E197" t="s">
        <v>91</v>
      </c>
      <c r="F197" t="s">
        <v>74</v>
      </c>
      <c r="G197" t="s">
        <v>19</v>
      </c>
      <c r="H197" t="s">
        <v>38</v>
      </c>
      <c r="I197">
        <v>5</v>
      </c>
      <c r="J197">
        <v>995.16</v>
      </c>
      <c r="K197">
        <v>0.08</v>
      </c>
      <c r="L197">
        <v>4577.74</v>
      </c>
      <c r="M197">
        <v>3436.15</v>
      </c>
      <c r="N197">
        <v>5032.3100000000004</v>
      </c>
    </row>
    <row r="198" spans="1:14" ht="13.8">
      <c r="A198" t="s">
        <v>361</v>
      </c>
      <c r="B198" s="21">
        <v>45853</v>
      </c>
      <c r="C198" t="s">
        <v>22</v>
      </c>
      <c r="D198" t="s">
        <v>68</v>
      </c>
      <c r="E198" t="s">
        <v>322</v>
      </c>
      <c r="F198" t="s">
        <v>25</v>
      </c>
      <c r="G198" t="s">
        <v>26</v>
      </c>
      <c r="H198" t="s">
        <v>39</v>
      </c>
      <c r="I198">
        <v>13</v>
      </c>
      <c r="J198">
        <v>225.5</v>
      </c>
      <c r="K198">
        <v>0.02</v>
      </c>
      <c r="L198">
        <v>2872.87</v>
      </c>
      <c r="M198">
        <v>1919.32</v>
      </c>
      <c r="N198">
        <v>2567.81</v>
      </c>
    </row>
    <row r="199" spans="1:14" ht="13.8">
      <c r="A199" t="s">
        <v>362</v>
      </c>
      <c r="B199" s="21">
        <v>45788</v>
      </c>
      <c r="C199" t="s">
        <v>67</v>
      </c>
      <c r="D199" t="s">
        <v>16</v>
      </c>
      <c r="E199" t="s">
        <v>363</v>
      </c>
      <c r="F199" t="s">
        <v>74</v>
      </c>
      <c r="G199" t="s">
        <v>33</v>
      </c>
      <c r="H199" t="s">
        <v>43</v>
      </c>
      <c r="I199">
        <v>13</v>
      </c>
      <c r="J199">
        <v>71.319999999999993</v>
      </c>
      <c r="K199">
        <v>0.05</v>
      </c>
      <c r="L199">
        <v>880.8</v>
      </c>
      <c r="M199">
        <v>617.55999999999995</v>
      </c>
      <c r="N199">
        <v>793.64</v>
      </c>
    </row>
    <row r="200" spans="1:14" ht="13.8">
      <c r="A200" t="s">
        <v>364</v>
      </c>
      <c r="B200" s="21">
        <v>45954</v>
      </c>
      <c r="C200" t="s">
        <v>29</v>
      </c>
      <c r="D200" t="s">
        <v>23</v>
      </c>
      <c r="E200" t="s">
        <v>65</v>
      </c>
      <c r="F200" t="s">
        <v>25</v>
      </c>
      <c r="G200" t="s">
        <v>33</v>
      </c>
      <c r="H200" t="s">
        <v>42</v>
      </c>
      <c r="I200">
        <v>15</v>
      </c>
      <c r="J200">
        <v>58.56</v>
      </c>
      <c r="K200">
        <v>0.08</v>
      </c>
      <c r="L200">
        <v>808.13</v>
      </c>
      <c r="M200">
        <v>541.95000000000005</v>
      </c>
      <c r="N200">
        <v>809.33</v>
      </c>
    </row>
    <row r="201" spans="1:14" ht="13.8">
      <c r="A201" t="s">
        <v>365</v>
      </c>
      <c r="B201" s="21">
        <v>45705</v>
      </c>
      <c r="C201" t="s">
        <v>29</v>
      </c>
      <c r="D201" t="s">
        <v>23</v>
      </c>
      <c r="E201" t="s">
        <v>135</v>
      </c>
      <c r="F201" t="s">
        <v>74</v>
      </c>
      <c r="G201" t="s">
        <v>19</v>
      </c>
      <c r="H201" t="s">
        <v>38</v>
      </c>
      <c r="I201">
        <v>13</v>
      </c>
      <c r="J201">
        <v>969.1</v>
      </c>
      <c r="K201">
        <v>0.03</v>
      </c>
      <c r="L201">
        <v>12220.35</v>
      </c>
      <c r="M201">
        <v>8885.7900000000009</v>
      </c>
      <c r="N201">
        <v>11806.49</v>
      </c>
    </row>
    <row r="202" spans="1:14" ht="13.8">
      <c r="A202" t="s">
        <v>366</v>
      </c>
      <c r="B202" s="21">
        <v>45849</v>
      </c>
      <c r="C202" t="s">
        <v>67</v>
      </c>
      <c r="D202" t="s">
        <v>30</v>
      </c>
      <c r="E202" t="s">
        <v>246</v>
      </c>
      <c r="F202" t="s">
        <v>18</v>
      </c>
      <c r="G202" t="s">
        <v>19</v>
      </c>
      <c r="H202" t="s">
        <v>37</v>
      </c>
      <c r="I202">
        <v>6</v>
      </c>
      <c r="J202">
        <v>1114.5999999999999</v>
      </c>
      <c r="K202">
        <v>0</v>
      </c>
      <c r="L202">
        <v>6687.6</v>
      </c>
      <c r="M202">
        <v>4242.3100000000004</v>
      </c>
      <c r="N202">
        <v>6843.63</v>
      </c>
    </row>
    <row r="203" spans="1:14" ht="13.8">
      <c r="A203" t="s">
        <v>367</v>
      </c>
      <c r="B203" s="21">
        <v>45706</v>
      </c>
      <c r="C203" t="s">
        <v>67</v>
      </c>
      <c r="D203" t="s">
        <v>30</v>
      </c>
      <c r="E203" t="s">
        <v>368</v>
      </c>
      <c r="F203" t="s">
        <v>18</v>
      </c>
      <c r="G203" t="s">
        <v>19</v>
      </c>
      <c r="H203" t="s">
        <v>20</v>
      </c>
      <c r="I203">
        <v>4</v>
      </c>
      <c r="J203">
        <v>891.68</v>
      </c>
      <c r="K203">
        <v>0.08</v>
      </c>
      <c r="L203">
        <v>3281.38</v>
      </c>
      <c r="M203">
        <v>2319.9</v>
      </c>
      <c r="N203">
        <v>3334.29</v>
      </c>
    </row>
    <row r="204" spans="1:14" ht="13.8">
      <c r="A204" t="s">
        <v>369</v>
      </c>
      <c r="B204" s="21">
        <v>45886</v>
      </c>
      <c r="C204" t="s">
        <v>29</v>
      </c>
      <c r="D204" t="s">
        <v>23</v>
      </c>
      <c r="E204" t="s">
        <v>358</v>
      </c>
      <c r="F204" t="s">
        <v>18</v>
      </c>
      <c r="G204" t="s">
        <v>45</v>
      </c>
      <c r="H204" t="s">
        <v>47</v>
      </c>
      <c r="I204">
        <v>10</v>
      </c>
      <c r="J204">
        <v>433.39</v>
      </c>
      <c r="K204">
        <v>0.02</v>
      </c>
      <c r="L204">
        <v>4247.22</v>
      </c>
      <c r="M204">
        <v>2785.66</v>
      </c>
      <c r="N204">
        <v>3776.16</v>
      </c>
    </row>
    <row r="205" spans="1:14" ht="13.8">
      <c r="A205" t="s">
        <v>370</v>
      </c>
      <c r="B205" s="21">
        <v>45672</v>
      </c>
      <c r="C205" t="s">
        <v>15</v>
      </c>
      <c r="D205" t="s">
        <v>64</v>
      </c>
      <c r="E205" t="s">
        <v>139</v>
      </c>
      <c r="F205" t="s">
        <v>74</v>
      </c>
      <c r="G205" t="s">
        <v>19</v>
      </c>
      <c r="H205" t="s">
        <v>20</v>
      </c>
      <c r="I205">
        <v>1</v>
      </c>
      <c r="J205">
        <v>854.88</v>
      </c>
      <c r="K205">
        <v>0.1</v>
      </c>
      <c r="L205">
        <v>769.39</v>
      </c>
      <c r="M205">
        <v>539.21</v>
      </c>
      <c r="N205">
        <v>851.97</v>
      </c>
    </row>
    <row r="206" spans="1:14" ht="13.8">
      <c r="A206" t="s">
        <v>371</v>
      </c>
      <c r="B206" s="21">
        <v>45719</v>
      </c>
      <c r="C206" t="s">
        <v>22</v>
      </c>
      <c r="D206" t="s">
        <v>23</v>
      </c>
      <c r="E206" t="s">
        <v>176</v>
      </c>
      <c r="F206" t="s">
        <v>25</v>
      </c>
      <c r="G206" t="s">
        <v>45</v>
      </c>
      <c r="H206" t="s">
        <v>46</v>
      </c>
      <c r="I206">
        <v>2</v>
      </c>
      <c r="J206">
        <v>331.74</v>
      </c>
      <c r="K206">
        <v>0.08</v>
      </c>
      <c r="L206">
        <v>610.4</v>
      </c>
      <c r="M206">
        <v>397.56</v>
      </c>
      <c r="N206">
        <v>550.29999999999995</v>
      </c>
    </row>
    <row r="207" spans="1:14" ht="13.8">
      <c r="A207" t="s">
        <v>372</v>
      </c>
      <c r="B207" s="21">
        <v>45847</v>
      </c>
      <c r="C207" t="s">
        <v>15</v>
      </c>
      <c r="D207" t="s">
        <v>64</v>
      </c>
      <c r="E207" t="s">
        <v>94</v>
      </c>
      <c r="F207" t="s">
        <v>18</v>
      </c>
      <c r="G207" t="s">
        <v>26</v>
      </c>
      <c r="H207" t="s">
        <v>39</v>
      </c>
      <c r="I207">
        <v>12</v>
      </c>
      <c r="J207">
        <v>213.88</v>
      </c>
      <c r="K207">
        <v>0</v>
      </c>
      <c r="L207">
        <v>2566.56</v>
      </c>
      <c r="M207">
        <v>2071.67</v>
      </c>
      <c r="N207">
        <v>2838.31</v>
      </c>
    </row>
    <row r="208" spans="1:14" ht="13.8">
      <c r="A208" t="s">
        <v>373</v>
      </c>
      <c r="B208" s="21">
        <v>45682</v>
      </c>
      <c r="C208" t="s">
        <v>15</v>
      </c>
      <c r="D208" t="s">
        <v>16</v>
      </c>
      <c r="E208" t="s">
        <v>69</v>
      </c>
      <c r="F208" t="s">
        <v>32</v>
      </c>
      <c r="G208" t="s">
        <v>26</v>
      </c>
      <c r="H208" t="s">
        <v>27</v>
      </c>
      <c r="I208">
        <v>13</v>
      </c>
      <c r="J208">
        <v>320.43</v>
      </c>
      <c r="K208">
        <v>0.1</v>
      </c>
      <c r="L208">
        <v>3749.03</v>
      </c>
      <c r="M208">
        <v>2782.8</v>
      </c>
      <c r="N208">
        <v>4185.8</v>
      </c>
    </row>
    <row r="209" spans="1:14" ht="13.8">
      <c r="A209" t="s">
        <v>374</v>
      </c>
      <c r="B209" s="21">
        <v>45660</v>
      </c>
      <c r="C209" t="s">
        <v>15</v>
      </c>
      <c r="D209" t="s">
        <v>68</v>
      </c>
      <c r="E209" t="s">
        <v>120</v>
      </c>
      <c r="F209" t="s">
        <v>32</v>
      </c>
      <c r="G209" t="s">
        <v>26</v>
      </c>
      <c r="H209" t="s">
        <v>39</v>
      </c>
      <c r="I209">
        <v>11</v>
      </c>
      <c r="J209">
        <v>225.46</v>
      </c>
      <c r="K209">
        <v>0.08</v>
      </c>
      <c r="L209">
        <v>2281.66</v>
      </c>
      <c r="M209">
        <v>1665.89</v>
      </c>
      <c r="N209">
        <v>2422.88</v>
      </c>
    </row>
    <row r="210" spans="1:14" ht="13.8">
      <c r="A210" t="s">
        <v>375</v>
      </c>
      <c r="B210" s="21">
        <v>45789</v>
      </c>
      <c r="C210" t="s">
        <v>29</v>
      </c>
      <c r="D210" t="s">
        <v>82</v>
      </c>
      <c r="E210" t="s">
        <v>127</v>
      </c>
      <c r="F210" t="s">
        <v>18</v>
      </c>
      <c r="G210" t="s">
        <v>33</v>
      </c>
      <c r="H210" t="s">
        <v>34</v>
      </c>
      <c r="I210">
        <v>2</v>
      </c>
      <c r="J210">
        <v>34.56</v>
      </c>
      <c r="K210">
        <v>0.05</v>
      </c>
      <c r="L210">
        <v>65.66</v>
      </c>
      <c r="M210">
        <v>41.83</v>
      </c>
      <c r="N210">
        <v>61.54</v>
      </c>
    </row>
    <row r="211" spans="1:14" ht="13.8">
      <c r="A211" t="s">
        <v>376</v>
      </c>
      <c r="B211" s="21">
        <v>45897</v>
      </c>
      <c r="C211" t="s">
        <v>15</v>
      </c>
      <c r="D211" t="s">
        <v>64</v>
      </c>
      <c r="E211" t="s">
        <v>224</v>
      </c>
      <c r="F211" t="s">
        <v>32</v>
      </c>
      <c r="G211" t="s">
        <v>45</v>
      </c>
      <c r="H211" t="s">
        <v>46</v>
      </c>
      <c r="I211">
        <v>15</v>
      </c>
      <c r="J211">
        <v>329.63</v>
      </c>
      <c r="K211">
        <v>0</v>
      </c>
      <c r="L211">
        <v>4944.45</v>
      </c>
      <c r="M211">
        <v>3137.4</v>
      </c>
      <c r="N211">
        <v>5339.42</v>
      </c>
    </row>
    <row r="212" spans="1:14" ht="13.8">
      <c r="A212" t="s">
        <v>377</v>
      </c>
      <c r="B212" s="21">
        <v>45729</v>
      </c>
      <c r="C212" t="s">
        <v>22</v>
      </c>
      <c r="D212" t="s">
        <v>30</v>
      </c>
      <c r="E212" t="s">
        <v>120</v>
      </c>
      <c r="F212" t="s">
        <v>25</v>
      </c>
      <c r="G212" t="s">
        <v>45</v>
      </c>
      <c r="H212" t="s">
        <v>47</v>
      </c>
      <c r="I212">
        <v>8</v>
      </c>
      <c r="J212">
        <v>439.23</v>
      </c>
      <c r="K212">
        <v>0.05</v>
      </c>
      <c r="L212">
        <v>3338.15</v>
      </c>
      <c r="M212">
        <v>2621.4299999999998</v>
      </c>
      <c r="N212">
        <v>3440.99</v>
      </c>
    </row>
    <row r="213" spans="1:14" ht="13.8">
      <c r="A213" t="s">
        <v>378</v>
      </c>
      <c r="B213" s="21">
        <v>45902</v>
      </c>
      <c r="C213" t="s">
        <v>22</v>
      </c>
      <c r="D213" t="s">
        <v>64</v>
      </c>
      <c r="E213" t="s">
        <v>124</v>
      </c>
      <c r="F213" t="s">
        <v>25</v>
      </c>
      <c r="G213" t="s">
        <v>19</v>
      </c>
      <c r="H213" t="s">
        <v>37</v>
      </c>
      <c r="I213">
        <v>11</v>
      </c>
      <c r="J213">
        <v>1085.26</v>
      </c>
      <c r="K213">
        <v>0.03</v>
      </c>
      <c r="L213">
        <v>11579.72</v>
      </c>
      <c r="M213">
        <v>7512.5</v>
      </c>
      <c r="N213">
        <v>10347.799999999999</v>
      </c>
    </row>
    <row r="214" spans="1:14" ht="13.8">
      <c r="A214" t="s">
        <v>379</v>
      </c>
      <c r="B214" s="21">
        <v>45882</v>
      </c>
      <c r="C214" t="s">
        <v>67</v>
      </c>
      <c r="D214" t="s">
        <v>30</v>
      </c>
      <c r="E214" t="s">
        <v>380</v>
      </c>
      <c r="F214" t="s">
        <v>25</v>
      </c>
      <c r="G214" t="s">
        <v>19</v>
      </c>
      <c r="H214" t="s">
        <v>38</v>
      </c>
      <c r="I214">
        <v>5</v>
      </c>
      <c r="J214">
        <v>942.23</v>
      </c>
      <c r="K214">
        <v>0.02</v>
      </c>
      <c r="L214">
        <v>4616.93</v>
      </c>
      <c r="M214">
        <v>2928.29</v>
      </c>
      <c r="N214">
        <v>4363.3</v>
      </c>
    </row>
    <row r="215" spans="1:14" ht="13.8">
      <c r="A215" t="s">
        <v>381</v>
      </c>
      <c r="B215" s="21">
        <v>45791</v>
      </c>
      <c r="C215" t="s">
        <v>15</v>
      </c>
      <c r="D215" t="s">
        <v>82</v>
      </c>
      <c r="E215" t="s">
        <v>127</v>
      </c>
      <c r="F215" t="s">
        <v>25</v>
      </c>
      <c r="G215" t="s">
        <v>33</v>
      </c>
      <c r="H215" t="s">
        <v>41</v>
      </c>
      <c r="I215">
        <v>2</v>
      </c>
      <c r="J215">
        <v>83.45</v>
      </c>
      <c r="K215">
        <v>0.05</v>
      </c>
      <c r="L215">
        <v>158.56</v>
      </c>
      <c r="M215">
        <v>99.12</v>
      </c>
      <c r="N215">
        <v>176.77</v>
      </c>
    </row>
    <row r="216" spans="1:14" ht="13.8">
      <c r="A216" t="s">
        <v>382</v>
      </c>
      <c r="B216" s="21">
        <v>45944</v>
      </c>
      <c r="C216" t="s">
        <v>22</v>
      </c>
      <c r="D216" t="s">
        <v>30</v>
      </c>
      <c r="E216" t="s">
        <v>256</v>
      </c>
      <c r="F216" t="s">
        <v>25</v>
      </c>
      <c r="G216" t="s">
        <v>33</v>
      </c>
      <c r="H216" t="s">
        <v>41</v>
      </c>
      <c r="I216">
        <v>14</v>
      </c>
      <c r="J216">
        <v>83.18</v>
      </c>
      <c r="K216">
        <v>0.03</v>
      </c>
      <c r="L216">
        <v>1129.58</v>
      </c>
      <c r="M216">
        <v>865.33</v>
      </c>
      <c r="N216">
        <v>1257.19</v>
      </c>
    </row>
    <row r="217" spans="1:14" ht="13.8">
      <c r="A217" t="s">
        <v>383</v>
      </c>
      <c r="B217" s="21">
        <v>45707</v>
      </c>
      <c r="C217" t="s">
        <v>67</v>
      </c>
      <c r="D217" t="s">
        <v>23</v>
      </c>
      <c r="E217" t="s">
        <v>139</v>
      </c>
      <c r="F217" t="s">
        <v>18</v>
      </c>
      <c r="G217" t="s">
        <v>33</v>
      </c>
      <c r="H217" t="s">
        <v>34</v>
      </c>
      <c r="I217">
        <v>5</v>
      </c>
      <c r="J217">
        <v>34.700000000000003</v>
      </c>
      <c r="K217">
        <v>0.02</v>
      </c>
      <c r="L217">
        <v>170.03</v>
      </c>
      <c r="M217">
        <v>104.17</v>
      </c>
      <c r="N217">
        <v>179.27</v>
      </c>
    </row>
    <row r="218" spans="1:14" ht="13.8">
      <c r="A218" t="s">
        <v>384</v>
      </c>
      <c r="B218" s="21">
        <v>45884</v>
      </c>
      <c r="C218" t="s">
        <v>67</v>
      </c>
      <c r="D218" t="s">
        <v>23</v>
      </c>
      <c r="E218" t="s">
        <v>153</v>
      </c>
      <c r="F218" t="s">
        <v>74</v>
      </c>
      <c r="G218" t="s">
        <v>45</v>
      </c>
      <c r="H218" t="s">
        <v>47</v>
      </c>
      <c r="I218">
        <v>9</v>
      </c>
      <c r="J218">
        <v>413.32</v>
      </c>
      <c r="K218">
        <v>0.02</v>
      </c>
      <c r="L218">
        <v>3645.48</v>
      </c>
      <c r="M218">
        <v>2542.58</v>
      </c>
      <c r="N218">
        <v>3898.82</v>
      </c>
    </row>
    <row r="219" spans="1:14" ht="13.8">
      <c r="A219" t="s">
        <v>385</v>
      </c>
      <c r="B219" s="21">
        <v>45678</v>
      </c>
      <c r="C219" t="s">
        <v>29</v>
      </c>
      <c r="D219" t="s">
        <v>82</v>
      </c>
      <c r="E219" t="s">
        <v>192</v>
      </c>
      <c r="F219" t="s">
        <v>25</v>
      </c>
      <c r="G219" t="s">
        <v>33</v>
      </c>
      <c r="H219" t="s">
        <v>34</v>
      </c>
      <c r="I219">
        <v>4</v>
      </c>
      <c r="J219">
        <v>34.22</v>
      </c>
      <c r="K219">
        <v>0.02</v>
      </c>
      <c r="L219">
        <v>134.13999999999999</v>
      </c>
      <c r="M219">
        <v>84.56</v>
      </c>
      <c r="N219">
        <v>123.84</v>
      </c>
    </row>
    <row r="220" spans="1:14" ht="13.8">
      <c r="A220" t="s">
        <v>386</v>
      </c>
      <c r="B220" s="21">
        <v>45965</v>
      </c>
      <c r="C220" t="s">
        <v>29</v>
      </c>
      <c r="D220" t="s">
        <v>23</v>
      </c>
      <c r="E220" t="s">
        <v>273</v>
      </c>
      <c r="F220" t="s">
        <v>25</v>
      </c>
      <c r="G220" t="s">
        <v>19</v>
      </c>
      <c r="H220" t="s">
        <v>37</v>
      </c>
      <c r="I220">
        <v>14</v>
      </c>
      <c r="J220">
        <v>1054.6199999999999</v>
      </c>
      <c r="K220">
        <v>0.08</v>
      </c>
      <c r="L220">
        <v>13583.51</v>
      </c>
      <c r="M220">
        <v>10334.16</v>
      </c>
      <c r="N220">
        <v>14435.29</v>
      </c>
    </row>
    <row r="221" spans="1:14" ht="13.8">
      <c r="A221" t="s">
        <v>387</v>
      </c>
      <c r="B221" s="21">
        <v>45956</v>
      </c>
      <c r="C221" t="s">
        <v>15</v>
      </c>
      <c r="D221" t="s">
        <v>64</v>
      </c>
      <c r="E221" t="s">
        <v>184</v>
      </c>
      <c r="F221" t="s">
        <v>32</v>
      </c>
      <c r="G221" t="s">
        <v>26</v>
      </c>
      <c r="H221" t="s">
        <v>27</v>
      </c>
      <c r="I221">
        <v>4</v>
      </c>
      <c r="J221">
        <v>304.32</v>
      </c>
      <c r="K221">
        <v>0.1</v>
      </c>
      <c r="L221">
        <v>1095.55</v>
      </c>
      <c r="M221">
        <v>833.93</v>
      </c>
      <c r="N221">
        <v>1071.3900000000001</v>
      </c>
    </row>
    <row r="222" spans="1:14" ht="13.8">
      <c r="A222" t="s">
        <v>388</v>
      </c>
      <c r="B222" s="21">
        <v>45829</v>
      </c>
      <c r="C222" t="s">
        <v>22</v>
      </c>
      <c r="D222" t="s">
        <v>23</v>
      </c>
      <c r="E222" t="s">
        <v>186</v>
      </c>
      <c r="F222" t="s">
        <v>32</v>
      </c>
      <c r="G222" t="s">
        <v>26</v>
      </c>
      <c r="H222" t="s">
        <v>27</v>
      </c>
      <c r="I222">
        <v>14</v>
      </c>
      <c r="J222">
        <v>324.45</v>
      </c>
      <c r="K222">
        <v>0.05</v>
      </c>
      <c r="L222">
        <v>4315.1899999999996</v>
      </c>
      <c r="M222">
        <v>2674.87</v>
      </c>
      <c r="N222">
        <v>4221.4799999999996</v>
      </c>
    </row>
    <row r="223" spans="1:14" ht="13.8">
      <c r="A223" t="s">
        <v>389</v>
      </c>
      <c r="B223" s="21">
        <v>45785</v>
      </c>
      <c r="C223" t="s">
        <v>15</v>
      </c>
      <c r="D223" t="s">
        <v>30</v>
      </c>
      <c r="E223" t="s">
        <v>246</v>
      </c>
      <c r="F223" t="s">
        <v>74</v>
      </c>
      <c r="G223" t="s">
        <v>19</v>
      </c>
      <c r="H223" t="s">
        <v>38</v>
      </c>
      <c r="I223">
        <v>10</v>
      </c>
      <c r="J223">
        <v>981.5</v>
      </c>
      <c r="K223">
        <v>0.03</v>
      </c>
      <c r="L223">
        <v>9520.5499999999993</v>
      </c>
      <c r="M223">
        <v>5789.14</v>
      </c>
      <c r="N223">
        <v>9982.69</v>
      </c>
    </row>
    <row r="224" spans="1:14" ht="13.8">
      <c r="A224" t="s">
        <v>390</v>
      </c>
      <c r="B224" s="21">
        <v>45922</v>
      </c>
      <c r="C224" t="s">
        <v>67</v>
      </c>
      <c r="D224" t="s">
        <v>82</v>
      </c>
      <c r="E224" t="s">
        <v>186</v>
      </c>
      <c r="F224" t="s">
        <v>74</v>
      </c>
      <c r="G224" t="s">
        <v>19</v>
      </c>
      <c r="H224" t="s">
        <v>37</v>
      </c>
      <c r="I224">
        <v>2</v>
      </c>
      <c r="J224">
        <v>1084.24</v>
      </c>
      <c r="K224">
        <v>0.02</v>
      </c>
      <c r="L224">
        <v>2125.11</v>
      </c>
      <c r="M224">
        <v>1656.82</v>
      </c>
      <c r="N224">
        <v>2311.5100000000002</v>
      </c>
    </row>
    <row r="225" spans="1:14" ht="13.8">
      <c r="A225" t="s">
        <v>391</v>
      </c>
      <c r="B225" s="21">
        <v>45953</v>
      </c>
      <c r="C225" t="s">
        <v>15</v>
      </c>
      <c r="D225" t="s">
        <v>64</v>
      </c>
      <c r="E225" t="s">
        <v>380</v>
      </c>
      <c r="F225" t="s">
        <v>25</v>
      </c>
      <c r="G225" t="s">
        <v>45</v>
      </c>
      <c r="H225" t="s">
        <v>47</v>
      </c>
      <c r="I225">
        <v>15</v>
      </c>
      <c r="J225">
        <v>401.57</v>
      </c>
      <c r="K225">
        <v>0</v>
      </c>
      <c r="L225">
        <v>6023.55</v>
      </c>
      <c r="M225">
        <v>4878.42</v>
      </c>
      <c r="N225">
        <v>6016.04</v>
      </c>
    </row>
    <row r="226" spans="1:14" ht="13.8">
      <c r="A226" t="s">
        <v>392</v>
      </c>
      <c r="B226" s="21">
        <v>45668</v>
      </c>
      <c r="C226" t="s">
        <v>15</v>
      </c>
      <c r="D226" t="s">
        <v>16</v>
      </c>
      <c r="E226" t="s">
        <v>71</v>
      </c>
      <c r="F226" t="s">
        <v>25</v>
      </c>
      <c r="G226" t="s">
        <v>26</v>
      </c>
      <c r="H226" t="s">
        <v>39</v>
      </c>
      <c r="I226">
        <v>2</v>
      </c>
      <c r="J226">
        <v>213.92</v>
      </c>
      <c r="K226">
        <v>0.02</v>
      </c>
      <c r="L226">
        <v>419.28</v>
      </c>
      <c r="M226">
        <v>267.05</v>
      </c>
      <c r="N226">
        <v>400.35</v>
      </c>
    </row>
    <row r="227" spans="1:14" ht="13.8">
      <c r="A227" t="s">
        <v>393</v>
      </c>
      <c r="B227" s="21">
        <v>45791</v>
      </c>
      <c r="C227" t="s">
        <v>22</v>
      </c>
      <c r="D227" t="s">
        <v>16</v>
      </c>
      <c r="E227" t="s">
        <v>145</v>
      </c>
      <c r="F227" t="s">
        <v>18</v>
      </c>
      <c r="G227" t="s">
        <v>19</v>
      </c>
      <c r="H227" t="s">
        <v>20</v>
      </c>
      <c r="I227">
        <v>14</v>
      </c>
      <c r="J227">
        <v>858.45</v>
      </c>
      <c r="K227">
        <v>0.08</v>
      </c>
      <c r="L227">
        <v>11056.84</v>
      </c>
      <c r="M227">
        <v>7762.64</v>
      </c>
      <c r="N227">
        <v>10362.56</v>
      </c>
    </row>
    <row r="228" spans="1:14" ht="13.8">
      <c r="A228" t="s">
        <v>394</v>
      </c>
      <c r="B228" s="21">
        <v>45749</v>
      </c>
      <c r="C228" t="s">
        <v>15</v>
      </c>
      <c r="D228" t="s">
        <v>16</v>
      </c>
      <c r="E228" t="s">
        <v>330</v>
      </c>
      <c r="F228" t="s">
        <v>74</v>
      </c>
      <c r="G228" t="s">
        <v>19</v>
      </c>
      <c r="H228" t="s">
        <v>20</v>
      </c>
      <c r="I228">
        <v>5</v>
      </c>
      <c r="J228">
        <v>817.96</v>
      </c>
      <c r="K228">
        <v>0.05</v>
      </c>
      <c r="L228">
        <v>3885.31</v>
      </c>
      <c r="M228">
        <v>2832</v>
      </c>
      <c r="N228">
        <v>4129.16</v>
      </c>
    </row>
    <row r="229" spans="1:14" ht="13.8">
      <c r="A229" t="s">
        <v>395</v>
      </c>
      <c r="B229" s="21">
        <v>45728</v>
      </c>
      <c r="C229" t="s">
        <v>22</v>
      </c>
      <c r="D229" t="s">
        <v>23</v>
      </c>
      <c r="E229" t="s">
        <v>221</v>
      </c>
      <c r="F229" t="s">
        <v>18</v>
      </c>
      <c r="G229" t="s">
        <v>33</v>
      </c>
      <c r="H229" t="s">
        <v>42</v>
      </c>
      <c r="I229">
        <v>10</v>
      </c>
      <c r="J229">
        <v>58.36</v>
      </c>
      <c r="K229">
        <v>0.02</v>
      </c>
      <c r="L229">
        <v>571.92999999999995</v>
      </c>
      <c r="M229">
        <v>361.68</v>
      </c>
      <c r="N229">
        <v>581.92999999999995</v>
      </c>
    </row>
    <row r="230" spans="1:14" ht="13.8">
      <c r="A230" t="s">
        <v>396</v>
      </c>
      <c r="B230" s="21">
        <v>45983</v>
      </c>
      <c r="C230" t="s">
        <v>15</v>
      </c>
      <c r="D230" t="s">
        <v>30</v>
      </c>
      <c r="E230" t="s">
        <v>316</v>
      </c>
      <c r="F230" t="s">
        <v>74</v>
      </c>
      <c r="G230" t="s">
        <v>33</v>
      </c>
      <c r="H230" t="s">
        <v>34</v>
      </c>
      <c r="I230">
        <v>12</v>
      </c>
      <c r="J230">
        <v>34.72</v>
      </c>
      <c r="K230">
        <v>0.08</v>
      </c>
      <c r="L230">
        <v>383.31</v>
      </c>
      <c r="M230">
        <v>274.31</v>
      </c>
      <c r="N230">
        <v>373.71</v>
      </c>
    </row>
    <row r="231" spans="1:14" ht="13.8">
      <c r="A231" t="s">
        <v>397</v>
      </c>
      <c r="B231" s="21">
        <v>45781</v>
      </c>
      <c r="C231" t="s">
        <v>22</v>
      </c>
      <c r="D231" t="s">
        <v>64</v>
      </c>
      <c r="E231" t="s">
        <v>143</v>
      </c>
      <c r="F231" t="s">
        <v>32</v>
      </c>
      <c r="G231" t="s">
        <v>26</v>
      </c>
      <c r="H231" t="s">
        <v>40</v>
      </c>
      <c r="I231">
        <v>12</v>
      </c>
      <c r="J231">
        <v>447.1</v>
      </c>
      <c r="K231">
        <v>0.08</v>
      </c>
      <c r="L231">
        <v>4935.9799999999996</v>
      </c>
      <c r="M231">
        <v>3835.08</v>
      </c>
      <c r="N231">
        <v>5424.96</v>
      </c>
    </row>
    <row r="232" spans="1:14" ht="13.8">
      <c r="A232" t="s">
        <v>398</v>
      </c>
      <c r="B232" s="21">
        <v>45922</v>
      </c>
      <c r="C232" t="s">
        <v>15</v>
      </c>
      <c r="D232" t="s">
        <v>30</v>
      </c>
      <c r="E232" t="s">
        <v>399</v>
      </c>
      <c r="F232" t="s">
        <v>25</v>
      </c>
      <c r="G232" t="s">
        <v>19</v>
      </c>
      <c r="H232" t="s">
        <v>38</v>
      </c>
      <c r="I232">
        <v>11</v>
      </c>
      <c r="J232">
        <v>991.26</v>
      </c>
      <c r="K232">
        <v>0.02</v>
      </c>
      <c r="L232">
        <v>10685.78</v>
      </c>
      <c r="M232">
        <v>8457.89</v>
      </c>
      <c r="N232">
        <v>11104.11</v>
      </c>
    </row>
    <row r="233" spans="1:14" ht="13.8">
      <c r="A233" t="s">
        <v>400</v>
      </c>
      <c r="B233" s="21">
        <v>45693</v>
      </c>
      <c r="C233" t="s">
        <v>22</v>
      </c>
      <c r="D233" t="s">
        <v>68</v>
      </c>
      <c r="E233" t="s">
        <v>139</v>
      </c>
      <c r="F233" t="s">
        <v>18</v>
      </c>
      <c r="G233" t="s">
        <v>26</v>
      </c>
      <c r="H233" t="s">
        <v>40</v>
      </c>
      <c r="I233">
        <v>7</v>
      </c>
      <c r="J233">
        <v>436.54</v>
      </c>
      <c r="K233">
        <v>0.1</v>
      </c>
      <c r="L233">
        <v>2750.2</v>
      </c>
      <c r="M233">
        <v>1662.72</v>
      </c>
      <c r="N233">
        <v>2512.19</v>
      </c>
    </row>
    <row r="234" spans="1:14" ht="13.8">
      <c r="A234" t="s">
        <v>401</v>
      </c>
      <c r="B234" s="21">
        <v>45678</v>
      </c>
      <c r="C234" t="s">
        <v>15</v>
      </c>
      <c r="D234" t="s">
        <v>64</v>
      </c>
      <c r="E234" t="s">
        <v>71</v>
      </c>
      <c r="F234" t="s">
        <v>32</v>
      </c>
      <c r="G234" t="s">
        <v>19</v>
      </c>
      <c r="H234" t="s">
        <v>20</v>
      </c>
      <c r="I234">
        <v>14</v>
      </c>
      <c r="J234">
        <v>862.03</v>
      </c>
      <c r="K234">
        <v>0.03</v>
      </c>
      <c r="L234">
        <v>11706.37</v>
      </c>
      <c r="M234">
        <v>9387.86</v>
      </c>
      <c r="N234">
        <v>12053.26</v>
      </c>
    </row>
    <row r="235" spans="1:14" ht="13.8">
      <c r="A235" t="s">
        <v>402</v>
      </c>
      <c r="B235" s="21">
        <v>45720</v>
      </c>
      <c r="C235" t="s">
        <v>29</v>
      </c>
      <c r="D235" t="s">
        <v>16</v>
      </c>
      <c r="E235" t="s">
        <v>277</v>
      </c>
      <c r="F235" t="s">
        <v>32</v>
      </c>
      <c r="G235" t="s">
        <v>33</v>
      </c>
      <c r="H235" t="s">
        <v>42</v>
      </c>
      <c r="I235">
        <v>1</v>
      </c>
      <c r="J235">
        <v>59.6</v>
      </c>
      <c r="K235">
        <v>0</v>
      </c>
      <c r="L235">
        <v>59.6</v>
      </c>
      <c r="M235">
        <v>39.53</v>
      </c>
      <c r="N235">
        <v>56.82</v>
      </c>
    </row>
    <row r="236" spans="1:14" ht="13.8">
      <c r="A236" t="s">
        <v>403</v>
      </c>
      <c r="B236" s="21">
        <v>45701</v>
      </c>
      <c r="C236" t="s">
        <v>67</v>
      </c>
      <c r="D236" t="s">
        <v>68</v>
      </c>
      <c r="E236" t="s">
        <v>195</v>
      </c>
      <c r="F236" t="s">
        <v>32</v>
      </c>
      <c r="G236" t="s">
        <v>33</v>
      </c>
      <c r="H236" t="s">
        <v>41</v>
      </c>
      <c r="I236">
        <v>10</v>
      </c>
      <c r="J236">
        <v>85.29</v>
      </c>
      <c r="K236">
        <v>0.02</v>
      </c>
      <c r="L236">
        <v>835.84</v>
      </c>
      <c r="M236">
        <v>582.41</v>
      </c>
      <c r="N236">
        <v>838.17</v>
      </c>
    </row>
    <row r="237" spans="1:14" ht="13.8">
      <c r="A237" t="s">
        <v>404</v>
      </c>
      <c r="B237" s="21">
        <v>45798</v>
      </c>
      <c r="C237" t="s">
        <v>29</v>
      </c>
      <c r="D237" t="s">
        <v>82</v>
      </c>
      <c r="E237" t="s">
        <v>85</v>
      </c>
      <c r="F237" t="s">
        <v>25</v>
      </c>
      <c r="G237" t="s">
        <v>26</v>
      </c>
      <c r="H237" t="s">
        <v>39</v>
      </c>
      <c r="I237">
        <v>12</v>
      </c>
      <c r="J237">
        <v>210.93</v>
      </c>
      <c r="K237">
        <v>0.08</v>
      </c>
      <c r="L237">
        <v>2328.67</v>
      </c>
      <c r="M237">
        <v>1544.32</v>
      </c>
      <c r="N237">
        <v>2303.04</v>
      </c>
    </row>
    <row r="238" spans="1:14" ht="13.8">
      <c r="A238" t="s">
        <v>405</v>
      </c>
      <c r="B238" s="21">
        <v>45938</v>
      </c>
      <c r="C238" t="s">
        <v>67</v>
      </c>
      <c r="D238" t="s">
        <v>16</v>
      </c>
      <c r="E238" t="s">
        <v>254</v>
      </c>
      <c r="F238" t="s">
        <v>32</v>
      </c>
      <c r="G238" t="s">
        <v>45</v>
      </c>
      <c r="H238" t="s">
        <v>46</v>
      </c>
      <c r="I238">
        <v>6</v>
      </c>
      <c r="J238">
        <v>338.67</v>
      </c>
      <c r="K238">
        <v>0.08</v>
      </c>
      <c r="L238">
        <v>1869.46</v>
      </c>
      <c r="M238">
        <v>1246.58</v>
      </c>
      <c r="N238">
        <v>1859.52</v>
      </c>
    </row>
    <row r="239" spans="1:14" ht="13.8">
      <c r="A239" t="s">
        <v>406</v>
      </c>
      <c r="B239" s="21">
        <v>45771</v>
      </c>
      <c r="C239" t="s">
        <v>29</v>
      </c>
      <c r="D239" t="s">
        <v>23</v>
      </c>
      <c r="E239" t="s">
        <v>120</v>
      </c>
      <c r="F239" t="s">
        <v>32</v>
      </c>
      <c r="G239" t="s">
        <v>26</v>
      </c>
      <c r="H239" t="s">
        <v>39</v>
      </c>
      <c r="I239">
        <v>9</v>
      </c>
      <c r="J239">
        <v>221.01</v>
      </c>
      <c r="K239">
        <v>0.08</v>
      </c>
      <c r="L239">
        <v>1829.96</v>
      </c>
      <c r="M239">
        <v>1257.5899999999999</v>
      </c>
      <c r="N239">
        <v>2016.26</v>
      </c>
    </row>
    <row r="240" spans="1:14" ht="13.8">
      <c r="A240" t="s">
        <v>407</v>
      </c>
      <c r="B240" s="21">
        <v>45909</v>
      </c>
      <c r="C240" t="s">
        <v>29</v>
      </c>
      <c r="D240" t="s">
        <v>64</v>
      </c>
      <c r="E240" t="s">
        <v>218</v>
      </c>
      <c r="F240" t="s">
        <v>32</v>
      </c>
      <c r="G240" t="s">
        <v>26</v>
      </c>
      <c r="H240" t="s">
        <v>27</v>
      </c>
      <c r="I240">
        <v>5</v>
      </c>
      <c r="J240">
        <v>332.11</v>
      </c>
      <c r="K240">
        <v>0.02</v>
      </c>
      <c r="L240">
        <v>1627.34</v>
      </c>
      <c r="M240">
        <v>1082.2</v>
      </c>
      <c r="N240">
        <v>1733.62</v>
      </c>
    </row>
    <row r="241" spans="1:14" ht="13.8">
      <c r="A241" t="s">
        <v>408</v>
      </c>
      <c r="B241" s="21">
        <v>45883</v>
      </c>
      <c r="C241" t="s">
        <v>29</v>
      </c>
      <c r="D241" t="s">
        <v>82</v>
      </c>
      <c r="E241" t="s">
        <v>87</v>
      </c>
      <c r="F241" t="s">
        <v>25</v>
      </c>
      <c r="G241" t="s">
        <v>45</v>
      </c>
      <c r="H241" t="s">
        <v>44</v>
      </c>
      <c r="I241">
        <v>1</v>
      </c>
      <c r="J241">
        <v>260.44</v>
      </c>
      <c r="K241">
        <v>0.05</v>
      </c>
      <c r="L241">
        <v>247.42</v>
      </c>
      <c r="M241">
        <v>167.73</v>
      </c>
      <c r="N241">
        <v>263.02999999999997</v>
      </c>
    </row>
    <row r="242" spans="1:14" ht="13.8">
      <c r="A242" t="s">
        <v>409</v>
      </c>
      <c r="B242" s="21">
        <v>45871</v>
      </c>
      <c r="C242" t="s">
        <v>67</v>
      </c>
      <c r="D242" t="s">
        <v>64</v>
      </c>
      <c r="E242" t="s">
        <v>71</v>
      </c>
      <c r="F242" t="s">
        <v>74</v>
      </c>
      <c r="G242" t="s">
        <v>26</v>
      </c>
      <c r="H242" t="s">
        <v>40</v>
      </c>
      <c r="I242">
        <v>11</v>
      </c>
      <c r="J242">
        <v>443.36</v>
      </c>
      <c r="K242">
        <v>0.1</v>
      </c>
      <c r="L242">
        <v>4389.26</v>
      </c>
      <c r="M242">
        <v>2829.09</v>
      </c>
      <c r="N242">
        <v>4505.93</v>
      </c>
    </row>
    <row r="243" spans="1:14" ht="13.8">
      <c r="A243" t="s">
        <v>410</v>
      </c>
      <c r="B243" s="21">
        <v>45795</v>
      </c>
      <c r="C243" t="s">
        <v>15</v>
      </c>
      <c r="D243" t="s">
        <v>68</v>
      </c>
      <c r="E243" t="s">
        <v>342</v>
      </c>
      <c r="F243" t="s">
        <v>18</v>
      </c>
      <c r="G243" t="s">
        <v>45</v>
      </c>
      <c r="H243" t="s">
        <v>47</v>
      </c>
      <c r="I243">
        <v>11</v>
      </c>
      <c r="J243">
        <v>428.76</v>
      </c>
      <c r="K243">
        <v>0.1</v>
      </c>
      <c r="L243">
        <v>4244.72</v>
      </c>
      <c r="M243">
        <v>2665.68</v>
      </c>
      <c r="N243">
        <v>4622.49</v>
      </c>
    </row>
    <row r="244" spans="1:14" ht="13.8">
      <c r="A244" t="s">
        <v>411</v>
      </c>
      <c r="B244" s="21">
        <v>45912</v>
      </c>
      <c r="C244" t="s">
        <v>22</v>
      </c>
      <c r="D244" t="s">
        <v>68</v>
      </c>
      <c r="E244" t="s">
        <v>80</v>
      </c>
      <c r="F244" t="s">
        <v>74</v>
      </c>
      <c r="G244" t="s">
        <v>33</v>
      </c>
      <c r="H244" t="s">
        <v>34</v>
      </c>
      <c r="I244">
        <v>10</v>
      </c>
      <c r="J244">
        <v>33.770000000000003</v>
      </c>
      <c r="K244">
        <v>0.03</v>
      </c>
      <c r="L244">
        <v>327.57</v>
      </c>
      <c r="M244">
        <v>259.44</v>
      </c>
      <c r="N244">
        <v>336.01</v>
      </c>
    </row>
    <row r="245" spans="1:14" ht="13.8">
      <c r="A245" t="s">
        <v>412</v>
      </c>
      <c r="B245" s="21">
        <v>45805</v>
      </c>
      <c r="C245" t="s">
        <v>67</v>
      </c>
      <c r="D245" t="s">
        <v>16</v>
      </c>
      <c r="E245" t="s">
        <v>250</v>
      </c>
      <c r="F245" t="s">
        <v>74</v>
      </c>
      <c r="G245" t="s">
        <v>45</v>
      </c>
      <c r="H245" t="s">
        <v>46</v>
      </c>
      <c r="I245">
        <v>6</v>
      </c>
      <c r="J245">
        <v>332.96</v>
      </c>
      <c r="K245">
        <v>0.05</v>
      </c>
      <c r="L245">
        <v>1897.87</v>
      </c>
      <c r="M245">
        <v>1358.39</v>
      </c>
      <c r="N245">
        <v>1941.33</v>
      </c>
    </row>
    <row r="246" spans="1:14" ht="13.8">
      <c r="A246" t="s">
        <v>413</v>
      </c>
      <c r="B246" s="21">
        <v>45852</v>
      </c>
      <c r="C246" t="s">
        <v>22</v>
      </c>
      <c r="D246" t="s">
        <v>64</v>
      </c>
      <c r="E246" t="s">
        <v>363</v>
      </c>
      <c r="F246" t="s">
        <v>18</v>
      </c>
      <c r="G246" t="s">
        <v>33</v>
      </c>
      <c r="H246" t="s">
        <v>41</v>
      </c>
      <c r="I246">
        <v>5</v>
      </c>
      <c r="J246">
        <v>82.32</v>
      </c>
      <c r="K246">
        <v>0.03</v>
      </c>
      <c r="L246">
        <v>399.25</v>
      </c>
      <c r="M246">
        <v>310.08</v>
      </c>
      <c r="N246">
        <v>393.08</v>
      </c>
    </row>
    <row r="247" spans="1:14" ht="13.8">
      <c r="A247" t="s">
        <v>414</v>
      </c>
      <c r="B247" s="21">
        <v>45827</v>
      </c>
      <c r="C247" t="s">
        <v>22</v>
      </c>
      <c r="D247" t="s">
        <v>16</v>
      </c>
      <c r="E247" t="s">
        <v>98</v>
      </c>
      <c r="F247" t="s">
        <v>18</v>
      </c>
      <c r="G247" t="s">
        <v>26</v>
      </c>
      <c r="H247" t="s">
        <v>40</v>
      </c>
      <c r="I247">
        <v>14</v>
      </c>
      <c r="J247">
        <v>454.86</v>
      </c>
      <c r="K247">
        <v>0.02</v>
      </c>
      <c r="L247">
        <v>6240.68</v>
      </c>
      <c r="M247">
        <v>5060.74</v>
      </c>
      <c r="N247">
        <v>5797.81</v>
      </c>
    </row>
    <row r="248" spans="1:14" ht="13.8">
      <c r="A248" t="s">
        <v>415</v>
      </c>
      <c r="B248" s="21">
        <v>45789</v>
      </c>
      <c r="C248" t="s">
        <v>22</v>
      </c>
      <c r="D248" t="s">
        <v>64</v>
      </c>
      <c r="E248" t="s">
        <v>221</v>
      </c>
      <c r="F248" t="s">
        <v>74</v>
      </c>
      <c r="G248" t="s">
        <v>33</v>
      </c>
      <c r="H248" t="s">
        <v>43</v>
      </c>
      <c r="I248">
        <v>15</v>
      </c>
      <c r="J248">
        <v>74.98</v>
      </c>
      <c r="K248">
        <v>0.08</v>
      </c>
      <c r="L248">
        <v>1034.72</v>
      </c>
      <c r="M248">
        <v>796.91</v>
      </c>
      <c r="N248">
        <v>1044.28</v>
      </c>
    </row>
    <row r="249" spans="1:14" ht="13.8">
      <c r="A249" t="s">
        <v>416</v>
      </c>
      <c r="B249" s="21">
        <v>45857</v>
      </c>
      <c r="C249" t="s">
        <v>15</v>
      </c>
      <c r="D249" t="s">
        <v>64</v>
      </c>
      <c r="E249" t="s">
        <v>363</v>
      </c>
      <c r="F249" t="s">
        <v>18</v>
      </c>
      <c r="G249" t="s">
        <v>33</v>
      </c>
      <c r="H249" t="s">
        <v>41</v>
      </c>
      <c r="I249">
        <v>6</v>
      </c>
      <c r="J249">
        <v>81.099999999999994</v>
      </c>
      <c r="K249">
        <v>0.1</v>
      </c>
      <c r="L249">
        <v>437.94</v>
      </c>
      <c r="M249">
        <v>296.58999999999997</v>
      </c>
      <c r="N249">
        <v>485.02</v>
      </c>
    </row>
    <row r="250" spans="1:14" ht="13.8">
      <c r="A250" t="s">
        <v>417</v>
      </c>
      <c r="B250" s="21">
        <v>45867</v>
      </c>
      <c r="C250" t="s">
        <v>29</v>
      </c>
      <c r="D250" t="s">
        <v>68</v>
      </c>
      <c r="E250" t="s">
        <v>170</v>
      </c>
      <c r="F250" t="s">
        <v>74</v>
      </c>
      <c r="G250" t="s">
        <v>26</v>
      </c>
      <c r="H250" t="s">
        <v>40</v>
      </c>
      <c r="I250">
        <v>9</v>
      </c>
      <c r="J250">
        <v>445.54</v>
      </c>
      <c r="K250">
        <v>0.08</v>
      </c>
      <c r="L250">
        <v>3689.07</v>
      </c>
      <c r="M250">
        <v>2966.94</v>
      </c>
      <c r="N250">
        <v>3382.92</v>
      </c>
    </row>
    <row r="251" spans="1:14" ht="13.8">
      <c r="A251" t="s">
        <v>418</v>
      </c>
      <c r="B251" s="21">
        <v>45883</v>
      </c>
      <c r="C251" t="s">
        <v>15</v>
      </c>
      <c r="D251" t="s">
        <v>23</v>
      </c>
      <c r="E251" t="s">
        <v>153</v>
      </c>
      <c r="F251" t="s">
        <v>32</v>
      </c>
      <c r="G251" t="s">
        <v>45</v>
      </c>
      <c r="H251" t="s">
        <v>47</v>
      </c>
      <c r="I251">
        <v>10</v>
      </c>
      <c r="J251">
        <v>436.76</v>
      </c>
      <c r="K251">
        <v>0.08</v>
      </c>
      <c r="L251">
        <v>4018.19</v>
      </c>
      <c r="M251">
        <v>2714.37</v>
      </c>
      <c r="N251">
        <v>4047.25</v>
      </c>
    </row>
    <row r="252" spans="1:14" ht="13.8">
      <c r="A252" t="s">
        <v>419</v>
      </c>
      <c r="B252" s="21">
        <v>45845</v>
      </c>
      <c r="C252" t="s">
        <v>67</v>
      </c>
      <c r="D252" t="s">
        <v>64</v>
      </c>
      <c r="E252" t="s">
        <v>124</v>
      </c>
      <c r="F252" t="s">
        <v>74</v>
      </c>
      <c r="G252" t="s">
        <v>19</v>
      </c>
      <c r="H252" t="s">
        <v>37</v>
      </c>
      <c r="I252">
        <v>14</v>
      </c>
      <c r="J252">
        <v>1079.17</v>
      </c>
      <c r="K252">
        <v>0.02</v>
      </c>
      <c r="L252">
        <v>14806.21</v>
      </c>
      <c r="M252">
        <v>9243.7000000000007</v>
      </c>
      <c r="N252">
        <v>16208.1</v>
      </c>
    </row>
    <row r="253" spans="1:14" ht="13.8">
      <c r="A253" t="s">
        <v>420</v>
      </c>
      <c r="B253" s="21">
        <v>45981</v>
      </c>
      <c r="C253" t="s">
        <v>22</v>
      </c>
      <c r="D253" t="s">
        <v>23</v>
      </c>
      <c r="E253" t="s">
        <v>277</v>
      </c>
      <c r="F253" t="s">
        <v>18</v>
      </c>
      <c r="G253" t="s">
        <v>19</v>
      </c>
      <c r="H253" t="s">
        <v>38</v>
      </c>
      <c r="I253">
        <v>9</v>
      </c>
      <c r="J253">
        <v>930.04</v>
      </c>
      <c r="K253">
        <v>0.08</v>
      </c>
      <c r="L253">
        <v>7700.73</v>
      </c>
      <c r="M253">
        <v>4972.47</v>
      </c>
      <c r="N253">
        <v>8427.32</v>
      </c>
    </row>
    <row r="254" spans="1:14" ht="13.8">
      <c r="A254" t="s">
        <v>421</v>
      </c>
      <c r="B254" s="21">
        <v>45838</v>
      </c>
      <c r="C254" t="s">
        <v>15</v>
      </c>
      <c r="D254" t="s">
        <v>30</v>
      </c>
      <c r="E254" t="s">
        <v>322</v>
      </c>
      <c r="F254" t="s">
        <v>18</v>
      </c>
      <c r="G254" t="s">
        <v>33</v>
      </c>
      <c r="H254" t="s">
        <v>43</v>
      </c>
      <c r="I254">
        <v>11</v>
      </c>
      <c r="J254">
        <v>76.02</v>
      </c>
      <c r="K254">
        <v>0</v>
      </c>
      <c r="L254">
        <v>836.22</v>
      </c>
      <c r="M254">
        <v>628.99</v>
      </c>
      <c r="N254">
        <v>738.03</v>
      </c>
    </row>
    <row r="255" spans="1:14" ht="13.8">
      <c r="A255" t="s">
        <v>422</v>
      </c>
      <c r="B255" s="21">
        <v>45813</v>
      </c>
      <c r="C255" t="s">
        <v>22</v>
      </c>
      <c r="D255" t="s">
        <v>64</v>
      </c>
      <c r="E255" t="s">
        <v>333</v>
      </c>
      <c r="F255" t="s">
        <v>32</v>
      </c>
      <c r="G255" t="s">
        <v>33</v>
      </c>
      <c r="H255" t="s">
        <v>34</v>
      </c>
      <c r="I255">
        <v>14</v>
      </c>
      <c r="J255">
        <v>33.590000000000003</v>
      </c>
      <c r="K255">
        <v>0</v>
      </c>
      <c r="L255">
        <v>470.26</v>
      </c>
      <c r="M255">
        <v>351.28</v>
      </c>
      <c r="N255">
        <v>436.02</v>
      </c>
    </row>
    <row r="256" spans="1:14" ht="13.8">
      <c r="A256" t="s">
        <v>423</v>
      </c>
      <c r="B256" s="21">
        <v>45989</v>
      </c>
      <c r="C256" t="s">
        <v>29</v>
      </c>
      <c r="D256" t="s">
        <v>23</v>
      </c>
      <c r="E256" t="s">
        <v>246</v>
      </c>
      <c r="F256" t="s">
        <v>18</v>
      </c>
      <c r="G256" t="s">
        <v>33</v>
      </c>
      <c r="H256" t="s">
        <v>42</v>
      </c>
      <c r="I256">
        <v>9</v>
      </c>
      <c r="J256">
        <v>62.98</v>
      </c>
      <c r="K256">
        <v>0.08</v>
      </c>
      <c r="L256">
        <v>521.47</v>
      </c>
      <c r="M256">
        <v>335.66</v>
      </c>
      <c r="N256">
        <v>534.20000000000005</v>
      </c>
    </row>
    <row r="257" spans="1:14" ht="13.8">
      <c r="A257" t="s">
        <v>424</v>
      </c>
      <c r="B257" s="21">
        <v>45672</v>
      </c>
      <c r="C257" t="s">
        <v>22</v>
      </c>
      <c r="D257" t="s">
        <v>16</v>
      </c>
      <c r="E257" t="s">
        <v>166</v>
      </c>
      <c r="F257" t="s">
        <v>18</v>
      </c>
      <c r="G257" t="s">
        <v>19</v>
      </c>
      <c r="H257" t="s">
        <v>37</v>
      </c>
      <c r="I257">
        <v>2</v>
      </c>
      <c r="J257">
        <v>1063.76</v>
      </c>
      <c r="K257">
        <v>0.08</v>
      </c>
      <c r="L257">
        <v>1957.32</v>
      </c>
      <c r="M257">
        <v>1385.57</v>
      </c>
      <c r="N257">
        <v>1942.06</v>
      </c>
    </row>
    <row r="258" spans="1:14" ht="13.8">
      <c r="A258" t="s">
        <v>425</v>
      </c>
      <c r="B258" s="21">
        <v>46008</v>
      </c>
      <c r="C258" t="s">
        <v>15</v>
      </c>
      <c r="D258" t="s">
        <v>30</v>
      </c>
      <c r="E258" t="s">
        <v>66</v>
      </c>
      <c r="F258" t="s">
        <v>18</v>
      </c>
      <c r="G258" t="s">
        <v>45</v>
      </c>
      <c r="H258" t="s">
        <v>47</v>
      </c>
      <c r="I258">
        <v>10</v>
      </c>
      <c r="J258">
        <v>412.56</v>
      </c>
      <c r="K258">
        <v>0.1</v>
      </c>
      <c r="L258">
        <v>3713.04</v>
      </c>
      <c r="M258">
        <v>2422.4499999999998</v>
      </c>
      <c r="N258">
        <v>3512.93</v>
      </c>
    </row>
    <row r="259" spans="1:14" ht="13.8">
      <c r="A259" t="s">
        <v>426</v>
      </c>
      <c r="B259" s="21">
        <v>45956</v>
      </c>
      <c r="C259" t="s">
        <v>22</v>
      </c>
      <c r="D259" t="s">
        <v>64</v>
      </c>
      <c r="E259" t="s">
        <v>289</v>
      </c>
      <c r="F259" t="s">
        <v>18</v>
      </c>
      <c r="G259" t="s">
        <v>19</v>
      </c>
      <c r="H259" t="s">
        <v>37</v>
      </c>
      <c r="I259">
        <v>6</v>
      </c>
      <c r="J259">
        <v>1066.08</v>
      </c>
      <c r="K259">
        <v>0.08</v>
      </c>
      <c r="L259">
        <v>5884.76</v>
      </c>
      <c r="M259">
        <v>4030.15</v>
      </c>
      <c r="N259">
        <v>5255.81</v>
      </c>
    </row>
    <row r="260" spans="1:14" ht="13.8">
      <c r="A260" t="s">
        <v>427</v>
      </c>
      <c r="B260" s="21">
        <v>45883</v>
      </c>
      <c r="C260" t="s">
        <v>29</v>
      </c>
      <c r="D260" t="s">
        <v>30</v>
      </c>
      <c r="E260" t="s">
        <v>17</v>
      </c>
      <c r="F260" t="s">
        <v>74</v>
      </c>
      <c r="G260" t="s">
        <v>19</v>
      </c>
      <c r="H260" t="s">
        <v>20</v>
      </c>
      <c r="I260">
        <v>10</v>
      </c>
      <c r="J260">
        <v>827.75</v>
      </c>
      <c r="K260">
        <v>0.02</v>
      </c>
      <c r="L260">
        <v>8111.95</v>
      </c>
      <c r="M260">
        <v>4945.66</v>
      </c>
      <c r="N260">
        <v>8950.7099999999991</v>
      </c>
    </row>
    <row r="261" spans="1:14" ht="13.8">
      <c r="A261" t="s">
        <v>428</v>
      </c>
      <c r="B261" s="21">
        <v>45813</v>
      </c>
      <c r="C261" t="s">
        <v>22</v>
      </c>
      <c r="D261" t="s">
        <v>82</v>
      </c>
      <c r="E261" t="s">
        <v>312</v>
      </c>
      <c r="F261" t="s">
        <v>25</v>
      </c>
      <c r="G261" t="s">
        <v>33</v>
      </c>
      <c r="H261" t="s">
        <v>34</v>
      </c>
      <c r="I261">
        <v>10</v>
      </c>
      <c r="J261">
        <v>34.130000000000003</v>
      </c>
      <c r="K261">
        <v>0.05</v>
      </c>
      <c r="L261">
        <v>324.24</v>
      </c>
      <c r="M261">
        <v>264.42</v>
      </c>
      <c r="N261">
        <v>290.58999999999997</v>
      </c>
    </row>
    <row r="262" spans="1:14" ht="13.8">
      <c r="A262" t="s">
        <v>429</v>
      </c>
      <c r="B262" s="21">
        <v>45869</v>
      </c>
      <c r="C262" t="s">
        <v>15</v>
      </c>
      <c r="D262" t="s">
        <v>23</v>
      </c>
      <c r="E262" t="s">
        <v>430</v>
      </c>
      <c r="F262" t="s">
        <v>32</v>
      </c>
      <c r="G262" t="s">
        <v>26</v>
      </c>
      <c r="H262" t="s">
        <v>27</v>
      </c>
      <c r="I262">
        <v>7</v>
      </c>
      <c r="J262">
        <v>332.01</v>
      </c>
      <c r="K262">
        <v>0.05</v>
      </c>
      <c r="L262">
        <v>2207.87</v>
      </c>
      <c r="M262">
        <v>1335.62</v>
      </c>
      <c r="N262">
        <v>2402.98</v>
      </c>
    </row>
    <row r="263" spans="1:14" ht="13.8">
      <c r="A263" t="s">
        <v>431</v>
      </c>
      <c r="B263" s="21">
        <v>45852</v>
      </c>
      <c r="C263" t="s">
        <v>67</v>
      </c>
      <c r="D263" t="s">
        <v>64</v>
      </c>
      <c r="E263" t="s">
        <v>186</v>
      </c>
      <c r="F263" t="s">
        <v>74</v>
      </c>
      <c r="G263" t="s">
        <v>19</v>
      </c>
      <c r="H263" t="s">
        <v>38</v>
      </c>
      <c r="I263">
        <v>1</v>
      </c>
      <c r="J263">
        <v>994.8</v>
      </c>
      <c r="K263">
        <v>0.03</v>
      </c>
      <c r="L263">
        <v>964.96</v>
      </c>
      <c r="M263">
        <v>663.05</v>
      </c>
      <c r="N263">
        <v>933.22</v>
      </c>
    </row>
    <row r="264" spans="1:14" ht="13.8">
      <c r="A264" t="s">
        <v>432</v>
      </c>
      <c r="B264" s="21">
        <v>45829</v>
      </c>
      <c r="C264" t="s">
        <v>29</v>
      </c>
      <c r="D264" t="s">
        <v>68</v>
      </c>
      <c r="E264" t="s">
        <v>211</v>
      </c>
      <c r="F264" t="s">
        <v>74</v>
      </c>
      <c r="G264" t="s">
        <v>33</v>
      </c>
      <c r="H264" t="s">
        <v>34</v>
      </c>
      <c r="I264">
        <v>11</v>
      </c>
      <c r="J264">
        <v>33.479999999999997</v>
      </c>
      <c r="K264">
        <v>0</v>
      </c>
      <c r="L264">
        <v>368.28</v>
      </c>
      <c r="M264">
        <v>255.18</v>
      </c>
      <c r="N264">
        <v>404.78</v>
      </c>
    </row>
    <row r="265" spans="1:14" ht="13.8">
      <c r="A265" t="s">
        <v>433</v>
      </c>
      <c r="B265" s="21">
        <v>45803</v>
      </c>
      <c r="C265" t="s">
        <v>29</v>
      </c>
      <c r="D265" t="s">
        <v>23</v>
      </c>
      <c r="E265" t="s">
        <v>322</v>
      </c>
      <c r="F265" t="s">
        <v>25</v>
      </c>
      <c r="G265" t="s">
        <v>26</v>
      </c>
      <c r="H265" t="s">
        <v>40</v>
      </c>
      <c r="I265">
        <v>4</v>
      </c>
      <c r="J265">
        <v>447.1</v>
      </c>
      <c r="K265">
        <v>0.03</v>
      </c>
      <c r="L265">
        <v>1734.75</v>
      </c>
      <c r="M265">
        <v>1294.3699999999999</v>
      </c>
      <c r="N265">
        <v>1668.73</v>
      </c>
    </row>
    <row r="266" spans="1:14" ht="13.8">
      <c r="A266" t="s">
        <v>434</v>
      </c>
      <c r="B266" s="21">
        <v>45705</v>
      </c>
      <c r="C266" t="s">
        <v>29</v>
      </c>
      <c r="D266" t="s">
        <v>23</v>
      </c>
      <c r="E266" t="s">
        <v>235</v>
      </c>
      <c r="F266" t="s">
        <v>32</v>
      </c>
      <c r="G266" t="s">
        <v>26</v>
      </c>
      <c r="H266" t="s">
        <v>39</v>
      </c>
      <c r="I266">
        <v>5</v>
      </c>
      <c r="J266">
        <v>220.99</v>
      </c>
      <c r="K266">
        <v>0.02</v>
      </c>
      <c r="L266">
        <v>1082.8499999999999</v>
      </c>
      <c r="M266">
        <v>781.92</v>
      </c>
      <c r="N266">
        <v>1074.29</v>
      </c>
    </row>
    <row r="267" spans="1:14" ht="13.8">
      <c r="A267" t="s">
        <v>435</v>
      </c>
      <c r="B267" s="21">
        <v>45768</v>
      </c>
      <c r="C267" t="s">
        <v>29</v>
      </c>
      <c r="D267" t="s">
        <v>23</v>
      </c>
      <c r="E267" t="s">
        <v>307</v>
      </c>
      <c r="F267" t="s">
        <v>74</v>
      </c>
      <c r="G267" t="s">
        <v>45</v>
      </c>
      <c r="H267" t="s">
        <v>46</v>
      </c>
      <c r="I267">
        <v>7</v>
      </c>
      <c r="J267">
        <v>335.81</v>
      </c>
      <c r="K267">
        <v>0.08</v>
      </c>
      <c r="L267">
        <v>2162.62</v>
      </c>
      <c r="M267">
        <v>1396.56</v>
      </c>
      <c r="N267">
        <v>2396.67</v>
      </c>
    </row>
    <row r="268" spans="1:14" ht="13.8">
      <c r="A268" t="s">
        <v>436</v>
      </c>
      <c r="B268" s="21">
        <v>46003</v>
      </c>
      <c r="C268" t="s">
        <v>67</v>
      </c>
      <c r="D268" t="s">
        <v>64</v>
      </c>
      <c r="E268" t="s">
        <v>254</v>
      </c>
      <c r="F268" t="s">
        <v>74</v>
      </c>
      <c r="G268" t="s">
        <v>19</v>
      </c>
      <c r="H268" t="s">
        <v>38</v>
      </c>
      <c r="I268">
        <v>12</v>
      </c>
      <c r="J268">
        <v>997.3</v>
      </c>
      <c r="K268">
        <v>0.08</v>
      </c>
      <c r="L268">
        <v>11010.19</v>
      </c>
      <c r="M268">
        <v>8785.2000000000007</v>
      </c>
      <c r="N268">
        <v>11241.57</v>
      </c>
    </row>
    <row r="269" spans="1:14" ht="13.8">
      <c r="A269" t="s">
        <v>437</v>
      </c>
      <c r="B269" s="21">
        <v>45969</v>
      </c>
      <c r="C269" t="s">
        <v>67</v>
      </c>
      <c r="D269" t="s">
        <v>82</v>
      </c>
      <c r="E269" t="s">
        <v>342</v>
      </c>
      <c r="F269" t="s">
        <v>74</v>
      </c>
      <c r="G269" t="s">
        <v>33</v>
      </c>
      <c r="H269" t="s">
        <v>42</v>
      </c>
      <c r="I269">
        <v>4</v>
      </c>
      <c r="J269">
        <v>57.75</v>
      </c>
      <c r="K269">
        <v>0</v>
      </c>
      <c r="L269">
        <v>231</v>
      </c>
      <c r="M269">
        <v>173.05</v>
      </c>
      <c r="N269">
        <v>208.35</v>
      </c>
    </row>
    <row r="270" spans="1:14" ht="13.8">
      <c r="A270" t="s">
        <v>438</v>
      </c>
      <c r="B270" s="21">
        <v>45672</v>
      </c>
      <c r="C270" t="s">
        <v>29</v>
      </c>
      <c r="D270" t="s">
        <v>23</v>
      </c>
      <c r="E270" t="s">
        <v>120</v>
      </c>
      <c r="F270" t="s">
        <v>25</v>
      </c>
      <c r="G270" t="s">
        <v>45</v>
      </c>
      <c r="H270" t="s">
        <v>44</v>
      </c>
      <c r="I270">
        <v>12</v>
      </c>
      <c r="J270">
        <v>261.76</v>
      </c>
      <c r="K270">
        <v>0.03</v>
      </c>
      <c r="L270">
        <v>3046.89</v>
      </c>
      <c r="M270">
        <v>1838.19</v>
      </c>
      <c r="N270">
        <v>3200.97</v>
      </c>
    </row>
    <row r="271" spans="1:14" ht="13.8">
      <c r="A271" t="s">
        <v>439</v>
      </c>
      <c r="B271" s="21">
        <v>45997</v>
      </c>
      <c r="C271" t="s">
        <v>29</v>
      </c>
      <c r="D271" t="s">
        <v>16</v>
      </c>
      <c r="E271" t="s">
        <v>312</v>
      </c>
      <c r="F271" t="s">
        <v>32</v>
      </c>
      <c r="G271" t="s">
        <v>19</v>
      </c>
      <c r="H271" t="s">
        <v>37</v>
      </c>
      <c r="I271">
        <v>2</v>
      </c>
      <c r="J271">
        <v>1106.82</v>
      </c>
      <c r="K271">
        <v>0.03</v>
      </c>
      <c r="L271">
        <v>2147.23</v>
      </c>
      <c r="M271">
        <v>1668.7</v>
      </c>
      <c r="N271">
        <v>2280.42</v>
      </c>
    </row>
    <row r="272" spans="1:14" ht="13.8">
      <c r="A272" t="s">
        <v>440</v>
      </c>
      <c r="B272" s="21">
        <v>45703</v>
      </c>
      <c r="C272" t="s">
        <v>22</v>
      </c>
      <c r="D272" t="s">
        <v>82</v>
      </c>
      <c r="E272" t="s">
        <v>283</v>
      </c>
      <c r="F272" t="s">
        <v>25</v>
      </c>
      <c r="G272" t="s">
        <v>26</v>
      </c>
      <c r="H272" t="s">
        <v>39</v>
      </c>
      <c r="I272">
        <v>5</v>
      </c>
      <c r="J272">
        <v>211.77</v>
      </c>
      <c r="K272">
        <v>0.1</v>
      </c>
      <c r="L272">
        <v>952.97</v>
      </c>
      <c r="M272">
        <v>655.43</v>
      </c>
      <c r="N272">
        <v>920.01</v>
      </c>
    </row>
    <row r="273" spans="1:14" ht="13.8">
      <c r="A273" t="s">
        <v>441</v>
      </c>
      <c r="B273" s="21">
        <v>45799</v>
      </c>
      <c r="C273" t="s">
        <v>15</v>
      </c>
      <c r="D273" t="s">
        <v>82</v>
      </c>
      <c r="E273" t="s">
        <v>322</v>
      </c>
      <c r="F273" t="s">
        <v>74</v>
      </c>
      <c r="G273" t="s">
        <v>19</v>
      </c>
      <c r="H273" t="s">
        <v>38</v>
      </c>
      <c r="I273">
        <v>1</v>
      </c>
      <c r="J273">
        <v>937.33</v>
      </c>
      <c r="K273">
        <v>0.1</v>
      </c>
      <c r="L273">
        <v>843.6</v>
      </c>
      <c r="M273">
        <v>634.4</v>
      </c>
      <c r="N273">
        <v>923.97</v>
      </c>
    </row>
    <row r="274" spans="1:14" ht="13.8">
      <c r="A274" t="s">
        <v>442</v>
      </c>
      <c r="B274" s="21">
        <v>45785</v>
      </c>
      <c r="C274" t="s">
        <v>29</v>
      </c>
      <c r="D274" t="s">
        <v>82</v>
      </c>
      <c r="E274" t="s">
        <v>443</v>
      </c>
      <c r="F274" t="s">
        <v>18</v>
      </c>
      <c r="G274" t="s">
        <v>33</v>
      </c>
      <c r="H274" t="s">
        <v>34</v>
      </c>
      <c r="I274">
        <v>6</v>
      </c>
      <c r="J274">
        <v>36.42</v>
      </c>
      <c r="K274">
        <v>0</v>
      </c>
      <c r="L274">
        <v>218.52</v>
      </c>
      <c r="M274">
        <v>139.85</v>
      </c>
      <c r="N274">
        <v>198.34</v>
      </c>
    </row>
    <row r="275" spans="1:14" ht="13.8">
      <c r="A275" t="s">
        <v>444</v>
      </c>
      <c r="B275" s="21">
        <v>45865</v>
      </c>
      <c r="C275" t="s">
        <v>15</v>
      </c>
      <c r="D275" t="s">
        <v>64</v>
      </c>
      <c r="E275" t="s">
        <v>148</v>
      </c>
      <c r="F275" t="s">
        <v>25</v>
      </c>
      <c r="G275" t="s">
        <v>19</v>
      </c>
      <c r="H275" t="s">
        <v>20</v>
      </c>
      <c r="I275">
        <v>10</v>
      </c>
      <c r="J275">
        <v>821.27</v>
      </c>
      <c r="K275">
        <v>0.02</v>
      </c>
      <c r="L275">
        <v>8048.45</v>
      </c>
      <c r="M275">
        <v>6169.39</v>
      </c>
      <c r="N275">
        <v>7384.34</v>
      </c>
    </row>
    <row r="276" spans="1:14" ht="13.8">
      <c r="A276" t="s">
        <v>445</v>
      </c>
      <c r="B276" s="21">
        <v>45947</v>
      </c>
      <c r="C276" t="s">
        <v>67</v>
      </c>
      <c r="D276" t="s">
        <v>16</v>
      </c>
      <c r="E276" t="s">
        <v>100</v>
      </c>
      <c r="F276" t="s">
        <v>32</v>
      </c>
      <c r="G276" t="s">
        <v>26</v>
      </c>
      <c r="H276" t="s">
        <v>39</v>
      </c>
      <c r="I276">
        <v>10</v>
      </c>
      <c r="J276">
        <v>219.95</v>
      </c>
      <c r="K276">
        <v>0.08</v>
      </c>
      <c r="L276">
        <v>2023.54</v>
      </c>
      <c r="M276">
        <v>1327.52</v>
      </c>
      <c r="N276">
        <v>1991.94</v>
      </c>
    </row>
    <row r="277" spans="1:14" ht="13.8">
      <c r="A277" t="s">
        <v>446</v>
      </c>
      <c r="B277" s="21">
        <v>45679</v>
      </c>
      <c r="C277" t="s">
        <v>67</v>
      </c>
      <c r="D277" t="s">
        <v>23</v>
      </c>
      <c r="E277" t="s">
        <v>447</v>
      </c>
      <c r="F277" t="s">
        <v>32</v>
      </c>
      <c r="G277" t="s">
        <v>33</v>
      </c>
      <c r="H277" t="s">
        <v>43</v>
      </c>
      <c r="I277">
        <v>10</v>
      </c>
      <c r="J277">
        <v>76.47</v>
      </c>
      <c r="K277">
        <v>0.02</v>
      </c>
      <c r="L277">
        <v>749.41</v>
      </c>
      <c r="M277">
        <v>561.92999999999995</v>
      </c>
      <c r="N277">
        <v>666.16</v>
      </c>
    </row>
    <row r="278" spans="1:14" ht="13.8">
      <c r="A278" t="s">
        <v>448</v>
      </c>
      <c r="B278" s="21">
        <v>45702</v>
      </c>
      <c r="C278" t="s">
        <v>15</v>
      </c>
      <c r="D278" t="s">
        <v>30</v>
      </c>
      <c r="E278" t="s">
        <v>368</v>
      </c>
      <c r="F278" t="s">
        <v>74</v>
      </c>
      <c r="G278" t="s">
        <v>33</v>
      </c>
      <c r="H278" t="s">
        <v>34</v>
      </c>
      <c r="I278">
        <v>12</v>
      </c>
      <c r="J278">
        <v>35.85</v>
      </c>
      <c r="K278">
        <v>0.1</v>
      </c>
      <c r="L278">
        <v>387.18</v>
      </c>
      <c r="M278">
        <v>284.72000000000003</v>
      </c>
      <c r="N278">
        <v>361.24</v>
      </c>
    </row>
    <row r="279" spans="1:14" ht="13.8">
      <c r="A279" t="s">
        <v>449</v>
      </c>
      <c r="B279" s="21">
        <v>45832</v>
      </c>
      <c r="C279" t="s">
        <v>29</v>
      </c>
      <c r="D279" t="s">
        <v>68</v>
      </c>
      <c r="E279" t="s">
        <v>443</v>
      </c>
      <c r="F279" t="s">
        <v>25</v>
      </c>
      <c r="G279" t="s">
        <v>45</v>
      </c>
      <c r="H279" t="s">
        <v>46</v>
      </c>
      <c r="I279">
        <v>9</v>
      </c>
      <c r="J279">
        <v>348.11</v>
      </c>
      <c r="K279">
        <v>0.1</v>
      </c>
      <c r="L279">
        <v>2819.69</v>
      </c>
      <c r="M279">
        <v>2080.11</v>
      </c>
      <c r="N279">
        <v>2825.55</v>
      </c>
    </row>
    <row r="280" spans="1:14" ht="13.8">
      <c r="A280" t="s">
        <v>450</v>
      </c>
      <c r="B280" s="21">
        <v>45908</v>
      </c>
      <c r="C280" t="s">
        <v>29</v>
      </c>
      <c r="D280" t="s">
        <v>64</v>
      </c>
      <c r="E280" t="s">
        <v>96</v>
      </c>
      <c r="F280" t="s">
        <v>25</v>
      </c>
      <c r="G280" t="s">
        <v>45</v>
      </c>
      <c r="H280" t="s">
        <v>47</v>
      </c>
      <c r="I280">
        <v>4</v>
      </c>
      <c r="J280">
        <v>400.84</v>
      </c>
      <c r="K280">
        <v>0.1</v>
      </c>
      <c r="L280">
        <v>1443.02</v>
      </c>
      <c r="M280">
        <v>1127.78</v>
      </c>
      <c r="N280">
        <v>1463.5</v>
      </c>
    </row>
    <row r="281" spans="1:14" ht="13.8">
      <c r="A281" t="s">
        <v>451</v>
      </c>
      <c r="B281" s="21">
        <v>45936</v>
      </c>
      <c r="C281" t="s">
        <v>29</v>
      </c>
      <c r="D281" t="s">
        <v>82</v>
      </c>
      <c r="E281" t="s">
        <v>148</v>
      </c>
      <c r="F281" t="s">
        <v>25</v>
      </c>
      <c r="G281" t="s">
        <v>26</v>
      </c>
      <c r="H281" t="s">
        <v>27</v>
      </c>
      <c r="I281">
        <v>4</v>
      </c>
      <c r="J281">
        <v>334.84</v>
      </c>
      <c r="K281">
        <v>0.02</v>
      </c>
      <c r="L281">
        <v>1312.57</v>
      </c>
      <c r="M281">
        <v>890.87</v>
      </c>
      <c r="N281">
        <v>1284.73</v>
      </c>
    </row>
    <row r="282" spans="1:14" ht="13.8">
      <c r="A282" t="s">
        <v>452</v>
      </c>
      <c r="B282" s="21">
        <v>45727</v>
      </c>
      <c r="C282" t="s">
        <v>22</v>
      </c>
      <c r="D282" t="s">
        <v>23</v>
      </c>
      <c r="E282" t="s">
        <v>78</v>
      </c>
      <c r="F282" t="s">
        <v>32</v>
      </c>
      <c r="G282" t="s">
        <v>45</v>
      </c>
      <c r="H282" t="s">
        <v>44</v>
      </c>
      <c r="I282">
        <v>12</v>
      </c>
      <c r="J282">
        <v>259.64999999999998</v>
      </c>
      <c r="K282">
        <v>0.05</v>
      </c>
      <c r="L282">
        <v>2960.01</v>
      </c>
      <c r="M282">
        <v>1930.91</v>
      </c>
      <c r="N282">
        <v>2776.52</v>
      </c>
    </row>
    <row r="283" spans="1:14" ht="13.8">
      <c r="A283" t="s">
        <v>453</v>
      </c>
      <c r="B283" s="21">
        <v>46015</v>
      </c>
      <c r="C283" t="s">
        <v>15</v>
      </c>
      <c r="D283" t="s">
        <v>64</v>
      </c>
      <c r="E283" t="s">
        <v>368</v>
      </c>
      <c r="F283" t="s">
        <v>25</v>
      </c>
      <c r="G283" t="s">
        <v>26</v>
      </c>
      <c r="H283" t="s">
        <v>27</v>
      </c>
      <c r="I283">
        <v>3</v>
      </c>
      <c r="J283">
        <v>332.31</v>
      </c>
      <c r="K283">
        <v>0.02</v>
      </c>
      <c r="L283">
        <v>976.99</v>
      </c>
      <c r="M283">
        <v>712.48</v>
      </c>
      <c r="N283">
        <v>916.21</v>
      </c>
    </row>
    <row r="284" spans="1:14" ht="13.8">
      <c r="A284" t="s">
        <v>454</v>
      </c>
      <c r="B284" s="21">
        <v>46004</v>
      </c>
      <c r="C284" t="s">
        <v>29</v>
      </c>
      <c r="D284" t="s">
        <v>16</v>
      </c>
      <c r="E284" t="s">
        <v>80</v>
      </c>
      <c r="F284" t="s">
        <v>32</v>
      </c>
      <c r="G284" t="s">
        <v>45</v>
      </c>
      <c r="H284" t="s">
        <v>44</v>
      </c>
      <c r="I284">
        <v>3</v>
      </c>
      <c r="J284">
        <v>262.57</v>
      </c>
      <c r="K284">
        <v>0.05</v>
      </c>
      <c r="L284">
        <v>748.32</v>
      </c>
      <c r="M284">
        <v>587.20000000000005</v>
      </c>
      <c r="N284">
        <v>731.46</v>
      </c>
    </row>
    <row r="285" spans="1:14" ht="13.8">
      <c r="A285" t="s">
        <v>455</v>
      </c>
      <c r="B285" s="21">
        <v>45664</v>
      </c>
      <c r="C285" t="s">
        <v>15</v>
      </c>
      <c r="D285" t="s">
        <v>82</v>
      </c>
      <c r="E285" t="s">
        <v>148</v>
      </c>
      <c r="F285" t="s">
        <v>74</v>
      </c>
      <c r="G285" t="s">
        <v>26</v>
      </c>
      <c r="H285" t="s">
        <v>40</v>
      </c>
      <c r="I285">
        <v>8</v>
      </c>
      <c r="J285">
        <v>436.79</v>
      </c>
      <c r="K285">
        <v>0</v>
      </c>
      <c r="L285">
        <v>3494.32</v>
      </c>
      <c r="M285">
        <v>2785.25</v>
      </c>
      <c r="N285">
        <v>3329.87</v>
      </c>
    </row>
    <row r="286" spans="1:14" ht="13.8">
      <c r="A286" t="s">
        <v>456</v>
      </c>
      <c r="B286" s="21">
        <v>45715</v>
      </c>
      <c r="C286" t="s">
        <v>15</v>
      </c>
      <c r="D286" t="s">
        <v>16</v>
      </c>
      <c r="E286" t="s">
        <v>24</v>
      </c>
      <c r="F286" t="s">
        <v>74</v>
      </c>
      <c r="G286" t="s">
        <v>19</v>
      </c>
      <c r="H286" t="s">
        <v>38</v>
      </c>
      <c r="I286">
        <v>6</v>
      </c>
      <c r="J286">
        <v>944.78</v>
      </c>
      <c r="K286">
        <v>0.08</v>
      </c>
      <c r="L286">
        <v>5215.1899999999996</v>
      </c>
      <c r="M286">
        <v>3545.57</v>
      </c>
      <c r="N286">
        <v>4799.76</v>
      </c>
    </row>
    <row r="287" spans="1:14" ht="13.8">
      <c r="A287" t="s">
        <v>457</v>
      </c>
      <c r="B287" s="21">
        <v>45906</v>
      </c>
      <c r="C287" t="s">
        <v>22</v>
      </c>
      <c r="D287" t="s">
        <v>68</v>
      </c>
      <c r="E287" t="s">
        <v>170</v>
      </c>
      <c r="F287" t="s">
        <v>25</v>
      </c>
      <c r="G287" t="s">
        <v>19</v>
      </c>
      <c r="H287" t="s">
        <v>37</v>
      </c>
      <c r="I287">
        <v>12</v>
      </c>
      <c r="J287">
        <v>1123.8900000000001</v>
      </c>
      <c r="K287">
        <v>0.1</v>
      </c>
      <c r="L287">
        <v>12138.01</v>
      </c>
      <c r="M287">
        <v>8787.9599999999991</v>
      </c>
      <c r="N287">
        <v>10998.4</v>
      </c>
    </row>
    <row r="288" spans="1:14" ht="13.8">
      <c r="A288" t="s">
        <v>458</v>
      </c>
      <c r="B288" s="21">
        <v>45936</v>
      </c>
      <c r="C288" t="s">
        <v>67</v>
      </c>
      <c r="D288" t="s">
        <v>82</v>
      </c>
      <c r="E288" t="s">
        <v>254</v>
      </c>
      <c r="F288" t="s">
        <v>18</v>
      </c>
      <c r="G288" t="s">
        <v>26</v>
      </c>
      <c r="H288" t="s">
        <v>40</v>
      </c>
      <c r="I288">
        <v>1</v>
      </c>
      <c r="J288">
        <v>443.67</v>
      </c>
      <c r="K288">
        <v>0</v>
      </c>
      <c r="L288">
        <v>443.67</v>
      </c>
      <c r="M288">
        <v>329.11</v>
      </c>
      <c r="N288">
        <v>457.27</v>
      </c>
    </row>
    <row r="289" spans="1:14" ht="13.8">
      <c r="A289" t="s">
        <v>459</v>
      </c>
      <c r="B289" s="21">
        <v>45728</v>
      </c>
      <c r="C289" t="s">
        <v>29</v>
      </c>
      <c r="D289" t="s">
        <v>82</v>
      </c>
      <c r="E289" t="s">
        <v>164</v>
      </c>
      <c r="F289" t="s">
        <v>25</v>
      </c>
      <c r="G289" t="s">
        <v>45</v>
      </c>
      <c r="H289" t="s">
        <v>46</v>
      </c>
      <c r="I289">
        <v>1</v>
      </c>
      <c r="J289">
        <v>323.86</v>
      </c>
      <c r="K289">
        <v>0.05</v>
      </c>
      <c r="L289">
        <v>307.67</v>
      </c>
      <c r="M289">
        <v>241.43</v>
      </c>
      <c r="N289">
        <v>292.63</v>
      </c>
    </row>
    <row r="290" spans="1:14" ht="13.8">
      <c r="A290" t="s">
        <v>460</v>
      </c>
      <c r="B290" s="21">
        <v>45710</v>
      </c>
      <c r="C290" t="s">
        <v>67</v>
      </c>
      <c r="D290" t="s">
        <v>30</v>
      </c>
      <c r="E290" t="s">
        <v>363</v>
      </c>
      <c r="F290" t="s">
        <v>32</v>
      </c>
      <c r="G290" t="s">
        <v>45</v>
      </c>
      <c r="H290" t="s">
        <v>47</v>
      </c>
      <c r="I290">
        <v>12</v>
      </c>
      <c r="J290">
        <v>433.88</v>
      </c>
      <c r="K290">
        <v>0.1</v>
      </c>
      <c r="L290">
        <v>4685.8999999999996</v>
      </c>
      <c r="M290">
        <v>3447.39</v>
      </c>
      <c r="N290">
        <v>4550.24</v>
      </c>
    </row>
    <row r="291" spans="1:14" ht="13.8">
      <c r="A291" t="s">
        <v>461</v>
      </c>
      <c r="B291" s="21">
        <v>45727</v>
      </c>
      <c r="C291" t="s">
        <v>22</v>
      </c>
      <c r="D291" t="s">
        <v>16</v>
      </c>
      <c r="E291" t="s">
        <v>65</v>
      </c>
      <c r="F291" t="s">
        <v>74</v>
      </c>
      <c r="G291" t="s">
        <v>33</v>
      </c>
      <c r="H291" t="s">
        <v>42</v>
      </c>
      <c r="I291">
        <v>15</v>
      </c>
      <c r="J291">
        <v>59.22</v>
      </c>
      <c r="K291">
        <v>0.03</v>
      </c>
      <c r="L291">
        <v>861.65</v>
      </c>
      <c r="M291">
        <v>562.37</v>
      </c>
      <c r="N291">
        <v>766.78</v>
      </c>
    </row>
    <row r="292" spans="1:14" ht="13.8">
      <c r="A292" t="s">
        <v>462</v>
      </c>
      <c r="B292" s="21">
        <v>45874</v>
      </c>
      <c r="C292" t="s">
        <v>29</v>
      </c>
      <c r="D292" t="s">
        <v>82</v>
      </c>
      <c r="E292" t="s">
        <v>363</v>
      </c>
      <c r="F292" t="s">
        <v>25</v>
      </c>
      <c r="G292" t="s">
        <v>33</v>
      </c>
      <c r="H292" t="s">
        <v>41</v>
      </c>
      <c r="I292">
        <v>12</v>
      </c>
      <c r="J292">
        <v>82.09</v>
      </c>
      <c r="K292">
        <v>0.03</v>
      </c>
      <c r="L292">
        <v>955.53</v>
      </c>
      <c r="M292">
        <v>700</v>
      </c>
      <c r="N292">
        <v>984.54</v>
      </c>
    </row>
    <row r="293" spans="1:14" ht="13.8">
      <c r="A293" t="s">
        <v>463</v>
      </c>
      <c r="B293" s="21">
        <v>45728</v>
      </c>
      <c r="C293" t="s">
        <v>22</v>
      </c>
      <c r="D293" t="s">
        <v>23</v>
      </c>
      <c r="E293" t="s">
        <v>65</v>
      </c>
      <c r="F293" t="s">
        <v>32</v>
      </c>
      <c r="G293" t="s">
        <v>33</v>
      </c>
      <c r="H293" t="s">
        <v>41</v>
      </c>
      <c r="I293">
        <v>11</v>
      </c>
      <c r="J293">
        <v>88.99</v>
      </c>
      <c r="K293">
        <v>0</v>
      </c>
      <c r="L293">
        <v>978.89</v>
      </c>
      <c r="M293">
        <v>798.18</v>
      </c>
      <c r="N293">
        <v>1061.27</v>
      </c>
    </row>
    <row r="294" spans="1:14" ht="13.8">
      <c r="A294" t="s">
        <v>464</v>
      </c>
      <c r="B294" s="21">
        <v>45659</v>
      </c>
      <c r="C294" t="s">
        <v>15</v>
      </c>
      <c r="D294" t="s">
        <v>64</v>
      </c>
      <c r="E294" t="s">
        <v>322</v>
      </c>
      <c r="F294" t="s">
        <v>74</v>
      </c>
      <c r="G294" t="s">
        <v>19</v>
      </c>
      <c r="H294" t="s">
        <v>20</v>
      </c>
      <c r="I294">
        <v>14</v>
      </c>
      <c r="J294">
        <v>859.41</v>
      </c>
      <c r="K294">
        <v>0.08</v>
      </c>
      <c r="L294">
        <v>11069.2</v>
      </c>
      <c r="M294">
        <v>7677.57</v>
      </c>
      <c r="N294">
        <v>10493.4</v>
      </c>
    </row>
    <row r="295" spans="1:14" ht="13.8">
      <c r="A295" t="s">
        <v>465</v>
      </c>
      <c r="B295" s="21">
        <v>45831</v>
      </c>
      <c r="C295" t="s">
        <v>67</v>
      </c>
      <c r="D295" t="s">
        <v>16</v>
      </c>
      <c r="E295" t="s">
        <v>213</v>
      </c>
      <c r="F295" t="s">
        <v>32</v>
      </c>
      <c r="G295" t="s">
        <v>19</v>
      </c>
      <c r="H295" t="s">
        <v>37</v>
      </c>
      <c r="I295">
        <v>8</v>
      </c>
      <c r="J295">
        <v>1045.97</v>
      </c>
      <c r="K295">
        <v>0.02</v>
      </c>
      <c r="L295">
        <v>8200.4</v>
      </c>
      <c r="M295">
        <v>6551.13</v>
      </c>
      <c r="N295">
        <v>7540.03</v>
      </c>
    </row>
    <row r="296" spans="1:14" ht="13.8">
      <c r="A296" t="s">
        <v>466</v>
      </c>
      <c r="B296" s="21">
        <v>45948</v>
      </c>
      <c r="C296" t="s">
        <v>29</v>
      </c>
      <c r="D296" t="s">
        <v>68</v>
      </c>
      <c r="E296" t="s">
        <v>467</v>
      </c>
      <c r="F296" t="s">
        <v>18</v>
      </c>
      <c r="G296" t="s">
        <v>26</v>
      </c>
      <c r="H296" t="s">
        <v>39</v>
      </c>
      <c r="I296">
        <v>8</v>
      </c>
      <c r="J296">
        <v>210.87</v>
      </c>
      <c r="K296">
        <v>0.03</v>
      </c>
      <c r="L296">
        <v>1636.35</v>
      </c>
      <c r="M296">
        <v>1167.8499999999999</v>
      </c>
      <c r="N296">
        <v>1608.22</v>
      </c>
    </row>
    <row r="297" spans="1:14" ht="13.8">
      <c r="A297" t="s">
        <v>468</v>
      </c>
      <c r="B297" s="21">
        <v>45688</v>
      </c>
      <c r="C297" t="s">
        <v>67</v>
      </c>
      <c r="D297" t="s">
        <v>68</v>
      </c>
      <c r="E297" t="s">
        <v>469</v>
      </c>
      <c r="F297" t="s">
        <v>25</v>
      </c>
      <c r="G297" t="s">
        <v>45</v>
      </c>
      <c r="H297" t="s">
        <v>46</v>
      </c>
      <c r="I297">
        <v>11</v>
      </c>
      <c r="J297">
        <v>334.27</v>
      </c>
      <c r="K297">
        <v>0.1</v>
      </c>
      <c r="L297">
        <v>3309.27</v>
      </c>
      <c r="M297">
        <v>2201.8200000000002</v>
      </c>
      <c r="N297">
        <v>3365.76</v>
      </c>
    </row>
    <row r="298" spans="1:14" ht="13.8">
      <c r="A298" t="s">
        <v>470</v>
      </c>
      <c r="B298" s="21">
        <v>45811</v>
      </c>
      <c r="C298" t="s">
        <v>22</v>
      </c>
      <c r="D298" t="s">
        <v>82</v>
      </c>
      <c r="E298" t="s">
        <v>91</v>
      </c>
      <c r="F298" t="s">
        <v>25</v>
      </c>
      <c r="G298" t="s">
        <v>26</v>
      </c>
      <c r="H298" t="s">
        <v>40</v>
      </c>
      <c r="I298">
        <v>9</v>
      </c>
      <c r="J298">
        <v>467.33</v>
      </c>
      <c r="K298">
        <v>0</v>
      </c>
      <c r="L298">
        <v>4205.97</v>
      </c>
      <c r="M298">
        <v>3308.35</v>
      </c>
      <c r="N298">
        <v>3925.84</v>
      </c>
    </row>
    <row r="299" spans="1:14" ht="13.8">
      <c r="A299" t="s">
        <v>471</v>
      </c>
      <c r="B299" s="21">
        <v>45996</v>
      </c>
      <c r="C299" t="s">
        <v>22</v>
      </c>
      <c r="D299" t="s">
        <v>68</v>
      </c>
      <c r="E299" t="s">
        <v>228</v>
      </c>
      <c r="F299" t="s">
        <v>18</v>
      </c>
      <c r="G299" t="s">
        <v>33</v>
      </c>
      <c r="H299" t="s">
        <v>43</v>
      </c>
      <c r="I299">
        <v>6</v>
      </c>
      <c r="J299">
        <v>75.41</v>
      </c>
      <c r="K299">
        <v>0.05</v>
      </c>
      <c r="L299">
        <v>429.84</v>
      </c>
      <c r="M299">
        <v>291.95</v>
      </c>
      <c r="N299">
        <v>403.04</v>
      </c>
    </row>
    <row r="300" spans="1:14" ht="13.8">
      <c r="A300" t="s">
        <v>472</v>
      </c>
      <c r="B300" s="21">
        <v>45774</v>
      </c>
      <c r="C300" t="s">
        <v>67</v>
      </c>
      <c r="D300" t="s">
        <v>82</v>
      </c>
      <c r="E300" t="s">
        <v>71</v>
      </c>
      <c r="F300" t="s">
        <v>25</v>
      </c>
      <c r="G300" t="s">
        <v>19</v>
      </c>
      <c r="H300" t="s">
        <v>38</v>
      </c>
      <c r="I300">
        <v>15</v>
      </c>
      <c r="J300">
        <v>921.77</v>
      </c>
      <c r="K300">
        <v>0.1</v>
      </c>
      <c r="L300">
        <v>12443.9</v>
      </c>
      <c r="M300">
        <v>7773.7</v>
      </c>
      <c r="N300">
        <v>13525.54</v>
      </c>
    </row>
    <row r="301" spans="1:14" ht="13.8">
      <c r="A301" t="s">
        <v>473</v>
      </c>
      <c r="B301" s="21">
        <v>45929</v>
      </c>
      <c r="C301" t="s">
        <v>15</v>
      </c>
      <c r="D301" t="s">
        <v>82</v>
      </c>
      <c r="E301" t="s">
        <v>336</v>
      </c>
      <c r="F301" t="s">
        <v>18</v>
      </c>
      <c r="G301" t="s">
        <v>45</v>
      </c>
      <c r="H301" t="s">
        <v>44</v>
      </c>
      <c r="I301">
        <v>5</v>
      </c>
      <c r="J301">
        <v>265.44</v>
      </c>
      <c r="K301">
        <v>0.02</v>
      </c>
      <c r="L301">
        <v>1300.6600000000001</v>
      </c>
      <c r="M301">
        <v>938.93</v>
      </c>
      <c r="N301">
        <v>1215.3</v>
      </c>
    </row>
    <row r="302" spans="1:14" ht="13.8">
      <c r="A302" t="s">
        <v>474</v>
      </c>
      <c r="B302" s="21">
        <v>45866</v>
      </c>
      <c r="C302" t="s">
        <v>15</v>
      </c>
      <c r="D302" t="s">
        <v>82</v>
      </c>
      <c r="E302" t="s">
        <v>356</v>
      </c>
      <c r="F302" t="s">
        <v>18</v>
      </c>
      <c r="G302" t="s">
        <v>45</v>
      </c>
      <c r="H302" t="s">
        <v>44</v>
      </c>
      <c r="I302">
        <v>2</v>
      </c>
      <c r="J302">
        <v>267.81</v>
      </c>
      <c r="K302">
        <v>0.02</v>
      </c>
      <c r="L302">
        <v>524.91</v>
      </c>
      <c r="M302">
        <v>414.66</v>
      </c>
      <c r="N302">
        <v>531.28</v>
      </c>
    </row>
    <row r="303" spans="1:14" ht="13.8">
      <c r="A303" t="s">
        <v>475</v>
      </c>
      <c r="B303" s="21">
        <v>45893</v>
      </c>
      <c r="C303" t="s">
        <v>29</v>
      </c>
      <c r="D303" t="s">
        <v>30</v>
      </c>
      <c r="E303" t="s">
        <v>447</v>
      </c>
      <c r="F303" t="s">
        <v>18</v>
      </c>
      <c r="G303" t="s">
        <v>45</v>
      </c>
      <c r="H303" t="s">
        <v>44</v>
      </c>
      <c r="I303">
        <v>7</v>
      </c>
      <c r="J303">
        <v>261.14999999999998</v>
      </c>
      <c r="K303">
        <v>0.02</v>
      </c>
      <c r="L303">
        <v>1791.49</v>
      </c>
      <c r="M303">
        <v>1296.8</v>
      </c>
      <c r="N303">
        <v>1909.72</v>
      </c>
    </row>
    <row r="304" spans="1:14" ht="13.8">
      <c r="A304" t="s">
        <v>476</v>
      </c>
      <c r="B304" s="21">
        <v>45865</v>
      </c>
      <c r="C304" t="s">
        <v>22</v>
      </c>
      <c r="D304" t="s">
        <v>30</v>
      </c>
      <c r="E304" t="s">
        <v>330</v>
      </c>
      <c r="F304" t="s">
        <v>25</v>
      </c>
      <c r="G304" t="s">
        <v>26</v>
      </c>
      <c r="H304" t="s">
        <v>39</v>
      </c>
      <c r="I304">
        <v>1</v>
      </c>
      <c r="J304">
        <v>217.19</v>
      </c>
      <c r="K304">
        <v>0</v>
      </c>
      <c r="L304">
        <v>217.19</v>
      </c>
      <c r="M304">
        <v>163.85</v>
      </c>
      <c r="N304">
        <v>240.94</v>
      </c>
    </row>
    <row r="305" spans="1:14" ht="13.8">
      <c r="A305" t="s">
        <v>477</v>
      </c>
      <c r="B305" s="21">
        <v>45876</v>
      </c>
      <c r="C305" t="s">
        <v>67</v>
      </c>
      <c r="D305" t="s">
        <v>23</v>
      </c>
      <c r="E305" t="s">
        <v>153</v>
      </c>
      <c r="F305" t="s">
        <v>32</v>
      </c>
      <c r="G305" t="s">
        <v>19</v>
      </c>
      <c r="H305" t="s">
        <v>37</v>
      </c>
      <c r="I305">
        <v>10</v>
      </c>
      <c r="J305">
        <v>1153.75</v>
      </c>
      <c r="K305">
        <v>0.02</v>
      </c>
      <c r="L305">
        <v>11306.75</v>
      </c>
      <c r="M305">
        <v>8184.4</v>
      </c>
      <c r="N305">
        <v>12439.7</v>
      </c>
    </row>
    <row r="306" spans="1:14" ht="13.8">
      <c r="A306" t="s">
        <v>478</v>
      </c>
      <c r="B306" s="21">
        <v>46006</v>
      </c>
      <c r="C306" t="s">
        <v>67</v>
      </c>
      <c r="D306" t="s">
        <v>82</v>
      </c>
      <c r="E306" t="s">
        <v>170</v>
      </c>
      <c r="F306" t="s">
        <v>18</v>
      </c>
      <c r="G306" t="s">
        <v>19</v>
      </c>
      <c r="H306" t="s">
        <v>20</v>
      </c>
      <c r="I306">
        <v>14</v>
      </c>
      <c r="J306">
        <v>829.23</v>
      </c>
      <c r="K306">
        <v>0.02</v>
      </c>
      <c r="L306">
        <v>11377.04</v>
      </c>
      <c r="M306">
        <v>7759.86</v>
      </c>
      <c r="N306">
        <v>12024.85</v>
      </c>
    </row>
    <row r="307" spans="1:14" ht="13.8">
      <c r="A307" t="s">
        <v>479</v>
      </c>
      <c r="B307" s="21">
        <v>45967</v>
      </c>
      <c r="C307" t="s">
        <v>29</v>
      </c>
      <c r="D307" t="s">
        <v>30</v>
      </c>
      <c r="E307" t="s">
        <v>215</v>
      </c>
      <c r="F307" t="s">
        <v>25</v>
      </c>
      <c r="G307" t="s">
        <v>26</v>
      </c>
      <c r="H307" t="s">
        <v>40</v>
      </c>
      <c r="I307">
        <v>2</v>
      </c>
      <c r="J307">
        <v>443.51</v>
      </c>
      <c r="K307">
        <v>0.03</v>
      </c>
      <c r="L307">
        <v>860.41</v>
      </c>
      <c r="M307">
        <v>668.25</v>
      </c>
      <c r="N307">
        <v>780.49</v>
      </c>
    </row>
    <row r="308" spans="1:14" ht="13.8">
      <c r="A308" t="s">
        <v>480</v>
      </c>
      <c r="B308" s="21">
        <v>46013</v>
      </c>
      <c r="C308" t="s">
        <v>22</v>
      </c>
      <c r="D308" t="s">
        <v>16</v>
      </c>
      <c r="E308" t="s">
        <v>481</v>
      </c>
      <c r="F308" t="s">
        <v>32</v>
      </c>
      <c r="G308" t="s">
        <v>33</v>
      </c>
      <c r="H308" t="s">
        <v>41</v>
      </c>
      <c r="I308">
        <v>1</v>
      </c>
      <c r="J308">
        <v>87.87</v>
      </c>
      <c r="K308">
        <v>0.08</v>
      </c>
      <c r="L308">
        <v>80.84</v>
      </c>
      <c r="M308">
        <v>56.33</v>
      </c>
      <c r="N308">
        <v>86.49</v>
      </c>
    </row>
    <row r="309" spans="1:14" ht="13.8">
      <c r="A309" t="s">
        <v>482</v>
      </c>
      <c r="B309" s="21">
        <v>45752</v>
      </c>
      <c r="C309" t="s">
        <v>67</v>
      </c>
      <c r="D309" t="s">
        <v>64</v>
      </c>
      <c r="E309" t="s">
        <v>80</v>
      </c>
      <c r="F309" t="s">
        <v>32</v>
      </c>
      <c r="G309" t="s">
        <v>19</v>
      </c>
      <c r="H309" t="s">
        <v>38</v>
      </c>
      <c r="I309">
        <v>9</v>
      </c>
      <c r="J309">
        <v>990.95</v>
      </c>
      <c r="K309">
        <v>0.1</v>
      </c>
      <c r="L309">
        <v>8026.7</v>
      </c>
      <c r="M309">
        <v>5998.39</v>
      </c>
      <c r="N309">
        <v>8674.3700000000008</v>
      </c>
    </row>
    <row r="310" spans="1:14" ht="13.8">
      <c r="A310" t="s">
        <v>483</v>
      </c>
      <c r="B310" s="21">
        <v>45885</v>
      </c>
      <c r="C310" t="s">
        <v>15</v>
      </c>
      <c r="D310" t="s">
        <v>16</v>
      </c>
      <c r="E310" t="s">
        <v>481</v>
      </c>
      <c r="F310" t="s">
        <v>25</v>
      </c>
      <c r="G310" t="s">
        <v>19</v>
      </c>
      <c r="H310" t="s">
        <v>20</v>
      </c>
      <c r="I310">
        <v>1</v>
      </c>
      <c r="J310">
        <v>836.6</v>
      </c>
      <c r="K310">
        <v>0.02</v>
      </c>
      <c r="L310">
        <v>819.87</v>
      </c>
      <c r="M310">
        <v>579.79</v>
      </c>
      <c r="N310">
        <v>816.72</v>
      </c>
    </row>
    <row r="311" spans="1:14" ht="13.8">
      <c r="A311" t="s">
        <v>484</v>
      </c>
      <c r="B311" s="21">
        <v>45975</v>
      </c>
      <c r="C311" t="s">
        <v>22</v>
      </c>
      <c r="D311" t="s">
        <v>68</v>
      </c>
      <c r="E311" t="s">
        <v>363</v>
      </c>
      <c r="F311" t="s">
        <v>18</v>
      </c>
      <c r="G311" t="s">
        <v>45</v>
      </c>
      <c r="H311" t="s">
        <v>44</v>
      </c>
      <c r="I311">
        <v>11</v>
      </c>
      <c r="J311">
        <v>262.60000000000002</v>
      </c>
      <c r="K311">
        <v>0.05</v>
      </c>
      <c r="L311">
        <v>2744.17</v>
      </c>
      <c r="M311">
        <v>2230.62</v>
      </c>
      <c r="N311">
        <v>2871.23</v>
      </c>
    </row>
    <row r="312" spans="1:14" ht="13.8">
      <c r="A312" t="s">
        <v>485</v>
      </c>
      <c r="B312" s="21">
        <v>45842</v>
      </c>
      <c r="C312" t="s">
        <v>29</v>
      </c>
      <c r="D312" t="s">
        <v>30</v>
      </c>
      <c r="E312" t="s">
        <v>303</v>
      </c>
      <c r="F312" t="s">
        <v>74</v>
      </c>
      <c r="G312" t="s">
        <v>26</v>
      </c>
      <c r="H312" t="s">
        <v>40</v>
      </c>
      <c r="I312">
        <v>9</v>
      </c>
      <c r="J312">
        <v>437.23</v>
      </c>
      <c r="K312">
        <v>0.02</v>
      </c>
      <c r="L312">
        <v>3856.37</v>
      </c>
      <c r="M312">
        <v>2813.72</v>
      </c>
      <c r="N312">
        <v>3434.01</v>
      </c>
    </row>
    <row r="313" spans="1:14" ht="13.8">
      <c r="A313" t="s">
        <v>486</v>
      </c>
      <c r="B313" s="21">
        <v>45827</v>
      </c>
      <c r="C313" t="s">
        <v>22</v>
      </c>
      <c r="D313" t="s">
        <v>30</v>
      </c>
      <c r="E313" t="s">
        <v>363</v>
      </c>
      <c r="F313" t="s">
        <v>18</v>
      </c>
      <c r="G313" t="s">
        <v>33</v>
      </c>
      <c r="H313" t="s">
        <v>43</v>
      </c>
      <c r="I313">
        <v>8</v>
      </c>
      <c r="J313">
        <v>74.16</v>
      </c>
      <c r="K313">
        <v>0.03</v>
      </c>
      <c r="L313">
        <v>575.48</v>
      </c>
      <c r="M313">
        <v>385.09</v>
      </c>
      <c r="N313">
        <v>552.76</v>
      </c>
    </row>
    <row r="314" spans="1:14" ht="13.8">
      <c r="A314" t="s">
        <v>487</v>
      </c>
      <c r="B314" s="21">
        <v>45785</v>
      </c>
      <c r="C314" t="s">
        <v>29</v>
      </c>
      <c r="D314" t="s">
        <v>30</v>
      </c>
      <c r="E314" t="s">
        <v>85</v>
      </c>
      <c r="F314" t="s">
        <v>32</v>
      </c>
      <c r="G314" t="s">
        <v>33</v>
      </c>
      <c r="H314" t="s">
        <v>41</v>
      </c>
      <c r="I314">
        <v>15</v>
      </c>
      <c r="J314">
        <v>89.13</v>
      </c>
      <c r="K314">
        <v>0</v>
      </c>
      <c r="L314">
        <v>1336.95</v>
      </c>
      <c r="M314">
        <v>987.73</v>
      </c>
      <c r="N314">
        <v>1409.78</v>
      </c>
    </row>
    <row r="315" spans="1:14" ht="13.8">
      <c r="A315" t="s">
        <v>488</v>
      </c>
      <c r="B315" s="21">
        <v>45690</v>
      </c>
      <c r="C315" t="s">
        <v>15</v>
      </c>
      <c r="D315" t="s">
        <v>64</v>
      </c>
      <c r="E315" t="s">
        <v>94</v>
      </c>
      <c r="F315" t="s">
        <v>18</v>
      </c>
      <c r="G315" t="s">
        <v>33</v>
      </c>
      <c r="H315" t="s">
        <v>42</v>
      </c>
      <c r="I315">
        <v>5</v>
      </c>
      <c r="J315">
        <v>59.14</v>
      </c>
      <c r="K315">
        <v>0.08</v>
      </c>
      <c r="L315">
        <v>272.04000000000002</v>
      </c>
      <c r="M315">
        <v>194.83</v>
      </c>
      <c r="N315">
        <v>301.87</v>
      </c>
    </row>
    <row r="316" spans="1:14" ht="13.8">
      <c r="A316" t="s">
        <v>489</v>
      </c>
      <c r="B316" s="21">
        <v>45760</v>
      </c>
      <c r="C316" t="s">
        <v>29</v>
      </c>
      <c r="D316" t="s">
        <v>23</v>
      </c>
      <c r="E316" t="s">
        <v>352</v>
      </c>
      <c r="F316" t="s">
        <v>18</v>
      </c>
      <c r="G316" t="s">
        <v>45</v>
      </c>
      <c r="H316" t="s">
        <v>47</v>
      </c>
      <c r="I316">
        <v>7</v>
      </c>
      <c r="J316">
        <v>425.59</v>
      </c>
      <c r="K316">
        <v>0.1</v>
      </c>
      <c r="L316">
        <v>2681.22</v>
      </c>
      <c r="M316">
        <v>1667.12</v>
      </c>
      <c r="N316">
        <v>2869.06</v>
      </c>
    </row>
    <row r="317" spans="1:14" ht="13.8">
      <c r="A317" t="s">
        <v>490</v>
      </c>
      <c r="B317" s="21">
        <v>45813</v>
      </c>
      <c r="C317" t="s">
        <v>22</v>
      </c>
      <c r="D317" t="s">
        <v>30</v>
      </c>
      <c r="E317" t="s">
        <v>277</v>
      </c>
      <c r="F317" t="s">
        <v>32</v>
      </c>
      <c r="G317" t="s">
        <v>45</v>
      </c>
      <c r="H317" t="s">
        <v>47</v>
      </c>
      <c r="I317">
        <v>6</v>
      </c>
      <c r="J317">
        <v>430.06</v>
      </c>
      <c r="K317">
        <v>0.08</v>
      </c>
      <c r="L317">
        <v>2373.9299999999998</v>
      </c>
      <c r="M317">
        <v>1869.96</v>
      </c>
      <c r="N317">
        <v>2228.7600000000002</v>
      </c>
    </row>
    <row r="318" spans="1:14" ht="13.8">
      <c r="A318" t="s">
        <v>491</v>
      </c>
      <c r="B318" s="21">
        <v>46001</v>
      </c>
      <c r="C318" t="s">
        <v>29</v>
      </c>
      <c r="D318" t="s">
        <v>30</v>
      </c>
      <c r="E318" t="s">
        <v>492</v>
      </c>
      <c r="F318" t="s">
        <v>25</v>
      </c>
      <c r="G318" t="s">
        <v>26</v>
      </c>
      <c r="H318" t="s">
        <v>40</v>
      </c>
      <c r="I318">
        <v>15</v>
      </c>
      <c r="J318">
        <v>471.98</v>
      </c>
      <c r="K318">
        <v>0.05</v>
      </c>
      <c r="L318">
        <v>6725.72</v>
      </c>
      <c r="M318">
        <v>4780.79</v>
      </c>
      <c r="N318">
        <v>7362.03</v>
      </c>
    </row>
    <row r="319" spans="1:14" ht="13.8">
      <c r="A319" t="s">
        <v>493</v>
      </c>
      <c r="B319" s="21">
        <v>45763</v>
      </c>
      <c r="C319" t="s">
        <v>67</v>
      </c>
      <c r="D319" t="s">
        <v>23</v>
      </c>
      <c r="E319" t="s">
        <v>494</v>
      </c>
      <c r="F319" t="s">
        <v>18</v>
      </c>
      <c r="G319" t="s">
        <v>19</v>
      </c>
      <c r="H319" t="s">
        <v>20</v>
      </c>
      <c r="I319">
        <v>15</v>
      </c>
      <c r="J319">
        <v>881.53</v>
      </c>
      <c r="K319">
        <v>0.05</v>
      </c>
      <c r="L319">
        <v>12561.8</v>
      </c>
      <c r="M319">
        <v>8656.2900000000009</v>
      </c>
      <c r="N319">
        <v>12248.48</v>
      </c>
    </row>
    <row r="320" spans="1:14" ht="13.8">
      <c r="A320" t="s">
        <v>495</v>
      </c>
      <c r="B320" s="21">
        <v>45731</v>
      </c>
      <c r="C320" t="s">
        <v>67</v>
      </c>
      <c r="D320" t="s">
        <v>16</v>
      </c>
      <c r="E320" t="s">
        <v>137</v>
      </c>
      <c r="F320" t="s">
        <v>25</v>
      </c>
      <c r="G320" t="s">
        <v>26</v>
      </c>
      <c r="H320" t="s">
        <v>27</v>
      </c>
      <c r="I320">
        <v>12</v>
      </c>
      <c r="J320">
        <v>313.87</v>
      </c>
      <c r="K320">
        <v>0.1</v>
      </c>
      <c r="L320">
        <v>3389.8</v>
      </c>
      <c r="M320">
        <v>2460.38</v>
      </c>
      <c r="N320">
        <v>3519.04</v>
      </c>
    </row>
    <row r="321" spans="1:14" ht="13.8">
      <c r="A321" t="s">
        <v>496</v>
      </c>
      <c r="B321" s="21">
        <v>45956</v>
      </c>
      <c r="C321" t="s">
        <v>22</v>
      </c>
      <c r="D321" t="s">
        <v>82</v>
      </c>
      <c r="E321" t="s">
        <v>186</v>
      </c>
      <c r="F321" t="s">
        <v>18</v>
      </c>
      <c r="G321" t="s">
        <v>19</v>
      </c>
      <c r="H321" t="s">
        <v>37</v>
      </c>
      <c r="I321">
        <v>10</v>
      </c>
      <c r="J321">
        <v>1064.6600000000001</v>
      </c>
      <c r="K321">
        <v>0.08</v>
      </c>
      <c r="L321">
        <v>9794.8700000000008</v>
      </c>
      <c r="M321">
        <v>6638.65</v>
      </c>
      <c r="N321">
        <v>9719.35</v>
      </c>
    </row>
    <row r="322" spans="1:14" ht="13.8">
      <c r="A322" t="s">
        <v>497</v>
      </c>
      <c r="B322" s="21">
        <v>45906</v>
      </c>
      <c r="C322" t="s">
        <v>67</v>
      </c>
      <c r="D322" t="s">
        <v>23</v>
      </c>
      <c r="E322" t="s">
        <v>322</v>
      </c>
      <c r="F322" t="s">
        <v>18</v>
      </c>
      <c r="G322" t="s">
        <v>26</v>
      </c>
      <c r="H322" t="s">
        <v>40</v>
      </c>
      <c r="I322">
        <v>15</v>
      </c>
      <c r="J322">
        <v>435.39</v>
      </c>
      <c r="K322">
        <v>0.03</v>
      </c>
      <c r="L322">
        <v>6334.92</v>
      </c>
      <c r="M322">
        <v>4562.58</v>
      </c>
      <c r="N322">
        <v>6727.93</v>
      </c>
    </row>
    <row r="323" spans="1:14" ht="13.8">
      <c r="A323" t="s">
        <v>498</v>
      </c>
      <c r="B323" s="21">
        <v>45769</v>
      </c>
      <c r="C323" t="s">
        <v>15</v>
      </c>
      <c r="D323" t="s">
        <v>23</v>
      </c>
      <c r="E323" t="s">
        <v>256</v>
      </c>
      <c r="F323" t="s">
        <v>18</v>
      </c>
      <c r="G323" t="s">
        <v>19</v>
      </c>
      <c r="H323" t="s">
        <v>20</v>
      </c>
      <c r="I323">
        <v>7</v>
      </c>
      <c r="J323">
        <v>845.57</v>
      </c>
      <c r="K323">
        <v>0.08</v>
      </c>
      <c r="L323">
        <v>5445.47</v>
      </c>
      <c r="M323">
        <v>3605.88</v>
      </c>
      <c r="N323">
        <v>5447.97</v>
      </c>
    </row>
    <row r="324" spans="1:14" ht="13.8">
      <c r="A324" t="s">
        <v>499</v>
      </c>
      <c r="B324" s="21">
        <v>45724</v>
      </c>
      <c r="C324" t="s">
        <v>29</v>
      </c>
      <c r="D324" t="s">
        <v>30</v>
      </c>
      <c r="E324" t="s">
        <v>162</v>
      </c>
      <c r="F324" t="s">
        <v>18</v>
      </c>
      <c r="G324" t="s">
        <v>33</v>
      </c>
      <c r="H324" t="s">
        <v>43</v>
      </c>
      <c r="I324">
        <v>1</v>
      </c>
      <c r="J324">
        <v>71.84</v>
      </c>
      <c r="K324">
        <v>0.08</v>
      </c>
      <c r="L324">
        <v>66.09</v>
      </c>
      <c r="M324">
        <v>44.61</v>
      </c>
      <c r="N324">
        <v>60.33</v>
      </c>
    </row>
    <row r="325" spans="1:14" ht="13.8">
      <c r="A325" t="s">
        <v>500</v>
      </c>
      <c r="B325" s="21">
        <v>45985</v>
      </c>
      <c r="C325" t="s">
        <v>22</v>
      </c>
      <c r="D325" t="s">
        <v>68</v>
      </c>
      <c r="E325" t="s">
        <v>260</v>
      </c>
      <c r="F325" t="s">
        <v>32</v>
      </c>
      <c r="G325" t="s">
        <v>26</v>
      </c>
      <c r="H325" t="s">
        <v>40</v>
      </c>
      <c r="I325">
        <v>15</v>
      </c>
      <c r="J325">
        <v>428.74</v>
      </c>
      <c r="K325">
        <v>0.03</v>
      </c>
      <c r="L325">
        <v>6238.17</v>
      </c>
      <c r="M325">
        <v>4191.33</v>
      </c>
      <c r="N325">
        <v>6611.45</v>
      </c>
    </row>
    <row r="326" spans="1:14" ht="13.8">
      <c r="A326" t="s">
        <v>501</v>
      </c>
      <c r="B326" s="21">
        <v>45747</v>
      </c>
      <c r="C326" t="s">
        <v>22</v>
      </c>
      <c r="D326" t="s">
        <v>64</v>
      </c>
      <c r="E326" t="s">
        <v>156</v>
      </c>
      <c r="F326" t="s">
        <v>32</v>
      </c>
      <c r="G326" t="s">
        <v>19</v>
      </c>
      <c r="H326" t="s">
        <v>20</v>
      </c>
      <c r="I326">
        <v>14</v>
      </c>
      <c r="J326">
        <v>842.71</v>
      </c>
      <c r="K326">
        <v>0</v>
      </c>
      <c r="L326">
        <v>11797.94</v>
      </c>
      <c r="M326">
        <v>7305.09</v>
      </c>
      <c r="N326">
        <v>12117.31</v>
      </c>
    </row>
    <row r="327" spans="1:14" ht="13.8">
      <c r="A327" t="s">
        <v>502</v>
      </c>
      <c r="B327" s="21">
        <v>45895</v>
      </c>
      <c r="C327" t="s">
        <v>22</v>
      </c>
      <c r="D327" t="s">
        <v>64</v>
      </c>
      <c r="E327" t="s">
        <v>322</v>
      </c>
      <c r="F327" t="s">
        <v>32</v>
      </c>
      <c r="G327" t="s">
        <v>19</v>
      </c>
      <c r="H327" t="s">
        <v>20</v>
      </c>
      <c r="I327">
        <v>1</v>
      </c>
      <c r="J327">
        <v>886.15</v>
      </c>
      <c r="K327">
        <v>0.08</v>
      </c>
      <c r="L327">
        <v>815.26</v>
      </c>
      <c r="M327">
        <v>606.47</v>
      </c>
      <c r="N327">
        <v>778.76</v>
      </c>
    </row>
    <row r="328" spans="1:14" ht="13.8">
      <c r="A328" t="s">
        <v>503</v>
      </c>
      <c r="B328" s="21">
        <v>45738</v>
      </c>
      <c r="C328" t="s">
        <v>67</v>
      </c>
      <c r="D328" t="s">
        <v>30</v>
      </c>
      <c r="E328" t="s">
        <v>368</v>
      </c>
      <c r="F328" t="s">
        <v>32</v>
      </c>
      <c r="G328" t="s">
        <v>19</v>
      </c>
      <c r="H328" t="s">
        <v>37</v>
      </c>
      <c r="I328">
        <v>1</v>
      </c>
      <c r="J328">
        <v>1062.18</v>
      </c>
      <c r="K328">
        <v>0.02</v>
      </c>
      <c r="L328">
        <v>1040.94</v>
      </c>
      <c r="M328">
        <v>745.82</v>
      </c>
      <c r="N328">
        <v>1126.03</v>
      </c>
    </row>
    <row r="329" spans="1:14" ht="13.8">
      <c r="A329" t="s">
        <v>504</v>
      </c>
      <c r="B329" s="21">
        <v>45933</v>
      </c>
      <c r="C329" t="s">
        <v>67</v>
      </c>
      <c r="D329" t="s">
        <v>23</v>
      </c>
      <c r="E329" t="s">
        <v>87</v>
      </c>
      <c r="F329" t="s">
        <v>32</v>
      </c>
      <c r="G329" t="s">
        <v>45</v>
      </c>
      <c r="H329" t="s">
        <v>44</v>
      </c>
      <c r="I329">
        <v>10</v>
      </c>
      <c r="J329">
        <v>269.51</v>
      </c>
      <c r="K329">
        <v>0.02</v>
      </c>
      <c r="L329">
        <v>2641.2</v>
      </c>
      <c r="M329">
        <v>1966.69</v>
      </c>
      <c r="N329">
        <v>2705.58</v>
      </c>
    </row>
    <row r="330" spans="1:14" ht="13.8">
      <c r="A330" t="s">
        <v>505</v>
      </c>
      <c r="B330" s="21">
        <v>46022</v>
      </c>
      <c r="C330" t="s">
        <v>22</v>
      </c>
      <c r="D330" t="s">
        <v>64</v>
      </c>
      <c r="E330" t="s">
        <v>305</v>
      </c>
      <c r="F330" t="s">
        <v>32</v>
      </c>
      <c r="G330" t="s">
        <v>33</v>
      </c>
      <c r="H330" t="s">
        <v>41</v>
      </c>
      <c r="I330">
        <v>13</v>
      </c>
      <c r="J330">
        <v>81.02</v>
      </c>
      <c r="K330">
        <v>0.1</v>
      </c>
      <c r="L330">
        <v>947.93</v>
      </c>
      <c r="M330">
        <v>633.25</v>
      </c>
      <c r="N330">
        <v>1009.95</v>
      </c>
    </row>
    <row r="331" spans="1:14" ht="13.8">
      <c r="A331" t="s">
        <v>506</v>
      </c>
      <c r="B331" s="21">
        <v>45925</v>
      </c>
      <c r="C331" t="s">
        <v>67</v>
      </c>
      <c r="D331" t="s">
        <v>23</v>
      </c>
      <c r="E331" t="s">
        <v>66</v>
      </c>
      <c r="F331" t="s">
        <v>25</v>
      </c>
      <c r="G331" t="s">
        <v>33</v>
      </c>
      <c r="H331" t="s">
        <v>42</v>
      </c>
      <c r="I331">
        <v>5</v>
      </c>
      <c r="J331">
        <v>57.79</v>
      </c>
      <c r="K331">
        <v>0</v>
      </c>
      <c r="L331">
        <v>288.95</v>
      </c>
      <c r="M331">
        <v>208.85</v>
      </c>
      <c r="N331">
        <v>261.2</v>
      </c>
    </row>
    <row r="332" spans="1:14" ht="13.8">
      <c r="A332" t="s">
        <v>507</v>
      </c>
      <c r="B332" s="21">
        <v>45863</v>
      </c>
      <c r="C332" t="s">
        <v>29</v>
      </c>
      <c r="D332" t="s">
        <v>64</v>
      </c>
      <c r="E332" t="s">
        <v>447</v>
      </c>
      <c r="F332" t="s">
        <v>25</v>
      </c>
      <c r="G332" t="s">
        <v>45</v>
      </c>
      <c r="H332" t="s">
        <v>47</v>
      </c>
      <c r="I332">
        <v>2</v>
      </c>
      <c r="J332">
        <v>438.35</v>
      </c>
      <c r="K332">
        <v>0.08</v>
      </c>
      <c r="L332">
        <v>806.56</v>
      </c>
      <c r="M332">
        <v>507.74</v>
      </c>
      <c r="N332">
        <v>721.42</v>
      </c>
    </row>
    <row r="333" spans="1:14" ht="13.8">
      <c r="A333" t="s">
        <v>508</v>
      </c>
      <c r="B333" s="21">
        <v>45790</v>
      </c>
      <c r="C333" t="s">
        <v>29</v>
      </c>
      <c r="D333" t="s">
        <v>64</v>
      </c>
      <c r="E333" t="s">
        <v>98</v>
      </c>
      <c r="F333" t="s">
        <v>32</v>
      </c>
      <c r="G333" t="s">
        <v>33</v>
      </c>
      <c r="H333" t="s">
        <v>43</v>
      </c>
      <c r="I333">
        <v>6</v>
      </c>
      <c r="J333">
        <v>76.78</v>
      </c>
      <c r="K333">
        <v>0.02</v>
      </c>
      <c r="L333">
        <v>451.47</v>
      </c>
      <c r="M333">
        <v>357.38</v>
      </c>
      <c r="N333">
        <v>490.01</v>
      </c>
    </row>
    <row r="334" spans="1:14" ht="13.8">
      <c r="A334" t="s">
        <v>509</v>
      </c>
      <c r="B334" s="21">
        <v>46021</v>
      </c>
      <c r="C334" t="s">
        <v>22</v>
      </c>
      <c r="D334" t="s">
        <v>68</v>
      </c>
      <c r="E334" t="s">
        <v>65</v>
      </c>
      <c r="F334" t="s">
        <v>32</v>
      </c>
      <c r="G334" t="s">
        <v>26</v>
      </c>
      <c r="H334" t="s">
        <v>39</v>
      </c>
      <c r="I334">
        <v>8</v>
      </c>
      <c r="J334">
        <v>230.61</v>
      </c>
      <c r="K334">
        <v>0.05</v>
      </c>
      <c r="L334">
        <v>1752.64</v>
      </c>
      <c r="M334">
        <v>1133.76</v>
      </c>
      <c r="N334">
        <v>1926.09</v>
      </c>
    </row>
    <row r="335" spans="1:14" ht="13.8">
      <c r="A335" t="s">
        <v>510</v>
      </c>
      <c r="B335" s="21">
        <v>45671</v>
      </c>
      <c r="C335" t="s">
        <v>67</v>
      </c>
      <c r="D335" t="s">
        <v>16</v>
      </c>
      <c r="E335" t="s">
        <v>363</v>
      </c>
      <c r="F335" t="s">
        <v>74</v>
      </c>
      <c r="G335" t="s">
        <v>19</v>
      </c>
      <c r="H335" t="s">
        <v>37</v>
      </c>
      <c r="I335">
        <v>11</v>
      </c>
      <c r="J335">
        <v>1125.67</v>
      </c>
      <c r="K335">
        <v>0</v>
      </c>
      <c r="L335">
        <v>12382.37</v>
      </c>
      <c r="M335">
        <v>9627.11</v>
      </c>
      <c r="N335">
        <v>13611.66</v>
      </c>
    </row>
    <row r="336" spans="1:14" ht="13.8">
      <c r="A336" t="s">
        <v>511</v>
      </c>
      <c r="B336" s="21">
        <v>45867</v>
      </c>
      <c r="C336" t="s">
        <v>22</v>
      </c>
      <c r="D336" t="s">
        <v>23</v>
      </c>
      <c r="E336" t="s">
        <v>363</v>
      </c>
      <c r="F336" t="s">
        <v>32</v>
      </c>
      <c r="G336" t="s">
        <v>33</v>
      </c>
      <c r="H336" t="s">
        <v>34</v>
      </c>
      <c r="I336">
        <v>11</v>
      </c>
      <c r="J336">
        <v>35.44</v>
      </c>
      <c r="K336">
        <v>0.02</v>
      </c>
      <c r="L336">
        <v>382.04</v>
      </c>
      <c r="M336">
        <v>231.8</v>
      </c>
      <c r="N336">
        <v>338.1</v>
      </c>
    </row>
    <row r="337" spans="1:14" ht="13.8">
      <c r="A337" t="s">
        <v>512</v>
      </c>
      <c r="B337" s="21">
        <v>45762</v>
      </c>
      <c r="C337" t="s">
        <v>29</v>
      </c>
      <c r="D337" t="s">
        <v>64</v>
      </c>
      <c r="E337" t="s">
        <v>108</v>
      </c>
      <c r="F337" t="s">
        <v>25</v>
      </c>
      <c r="G337" t="s">
        <v>26</v>
      </c>
      <c r="H337" t="s">
        <v>40</v>
      </c>
      <c r="I337">
        <v>13</v>
      </c>
      <c r="J337">
        <v>446.65</v>
      </c>
      <c r="K337">
        <v>0.03</v>
      </c>
      <c r="L337">
        <v>5632.26</v>
      </c>
      <c r="M337">
        <v>3749.18</v>
      </c>
      <c r="N337">
        <v>6300.44</v>
      </c>
    </row>
    <row r="338" spans="1:14" ht="13.8">
      <c r="A338" t="s">
        <v>513</v>
      </c>
      <c r="B338" s="21">
        <v>45902</v>
      </c>
      <c r="C338" t="s">
        <v>67</v>
      </c>
      <c r="D338" t="s">
        <v>16</v>
      </c>
      <c r="E338" t="s">
        <v>170</v>
      </c>
      <c r="F338" t="s">
        <v>25</v>
      </c>
      <c r="G338" t="s">
        <v>45</v>
      </c>
      <c r="H338" t="s">
        <v>47</v>
      </c>
      <c r="I338">
        <v>5</v>
      </c>
      <c r="J338">
        <v>439.08</v>
      </c>
      <c r="K338">
        <v>0.02</v>
      </c>
      <c r="L338">
        <v>2151.4899999999998</v>
      </c>
      <c r="M338">
        <v>1680.36</v>
      </c>
      <c r="N338">
        <v>2039.22</v>
      </c>
    </row>
    <row r="339" spans="1:14" ht="13.8">
      <c r="A339" t="s">
        <v>514</v>
      </c>
      <c r="B339" s="21">
        <v>45740</v>
      </c>
      <c r="C339" t="s">
        <v>29</v>
      </c>
      <c r="D339" t="s">
        <v>82</v>
      </c>
      <c r="E339" t="s">
        <v>153</v>
      </c>
      <c r="F339" t="s">
        <v>18</v>
      </c>
      <c r="G339" t="s">
        <v>26</v>
      </c>
      <c r="H339" t="s">
        <v>40</v>
      </c>
      <c r="I339">
        <v>11</v>
      </c>
      <c r="J339">
        <v>454.96</v>
      </c>
      <c r="K339">
        <v>0.05</v>
      </c>
      <c r="L339">
        <v>4754.33</v>
      </c>
      <c r="M339">
        <v>3074.41</v>
      </c>
      <c r="N339">
        <v>4243.29</v>
      </c>
    </row>
    <row r="340" spans="1:14" ht="13.8">
      <c r="A340" t="s">
        <v>515</v>
      </c>
      <c r="B340" s="21">
        <v>45882</v>
      </c>
      <c r="C340" t="s">
        <v>29</v>
      </c>
      <c r="D340" t="s">
        <v>16</v>
      </c>
      <c r="E340" t="s">
        <v>273</v>
      </c>
      <c r="F340" t="s">
        <v>32</v>
      </c>
      <c r="G340" t="s">
        <v>19</v>
      </c>
      <c r="H340" t="s">
        <v>38</v>
      </c>
      <c r="I340">
        <v>7</v>
      </c>
      <c r="J340">
        <v>984.58</v>
      </c>
      <c r="K340">
        <v>0.03</v>
      </c>
      <c r="L340">
        <v>6685.3</v>
      </c>
      <c r="M340">
        <v>5018.88</v>
      </c>
      <c r="N340">
        <v>7174.7</v>
      </c>
    </row>
    <row r="341" spans="1:14" ht="13.8">
      <c r="A341" t="s">
        <v>516</v>
      </c>
      <c r="B341" s="21">
        <v>45735</v>
      </c>
      <c r="C341" t="s">
        <v>22</v>
      </c>
      <c r="D341" t="s">
        <v>30</v>
      </c>
      <c r="E341" t="s">
        <v>197</v>
      </c>
      <c r="F341" t="s">
        <v>74</v>
      </c>
      <c r="G341" t="s">
        <v>33</v>
      </c>
      <c r="H341" t="s">
        <v>42</v>
      </c>
      <c r="I341">
        <v>12</v>
      </c>
      <c r="J341">
        <v>59.11</v>
      </c>
      <c r="K341">
        <v>0.02</v>
      </c>
      <c r="L341">
        <v>695.13</v>
      </c>
      <c r="M341">
        <v>488.11</v>
      </c>
      <c r="N341">
        <v>677.98</v>
      </c>
    </row>
    <row r="342" spans="1:14" ht="13.8">
      <c r="A342" t="s">
        <v>517</v>
      </c>
      <c r="B342" s="21">
        <v>45829</v>
      </c>
      <c r="C342" t="s">
        <v>29</v>
      </c>
      <c r="D342" t="s">
        <v>64</v>
      </c>
      <c r="E342" t="s">
        <v>113</v>
      </c>
      <c r="F342" t="s">
        <v>18</v>
      </c>
      <c r="G342" t="s">
        <v>19</v>
      </c>
      <c r="H342" t="s">
        <v>20</v>
      </c>
      <c r="I342">
        <v>10</v>
      </c>
      <c r="J342">
        <v>827.44</v>
      </c>
      <c r="K342">
        <v>0.1</v>
      </c>
      <c r="L342">
        <v>7446.96</v>
      </c>
      <c r="M342">
        <v>5597.74</v>
      </c>
      <c r="N342">
        <v>6621.02</v>
      </c>
    </row>
    <row r="343" spans="1:14" ht="13.8">
      <c r="A343" t="s">
        <v>518</v>
      </c>
      <c r="B343" s="21">
        <v>45668</v>
      </c>
      <c r="C343" t="s">
        <v>29</v>
      </c>
      <c r="D343" t="s">
        <v>64</v>
      </c>
      <c r="E343" t="s">
        <v>368</v>
      </c>
      <c r="F343" t="s">
        <v>18</v>
      </c>
      <c r="G343" t="s">
        <v>19</v>
      </c>
      <c r="H343" t="s">
        <v>20</v>
      </c>
      <c r="I343">
        <v>15</v>
      </c>
      <c r="J343">
        <v>834.4</v>
      </c>
      <c r="K343">
        <v>0</v>
      </c>
      <c r="L343">
        <v>12516</v>
      </c>
      <c r="M343">
        <v>7841.3</v>
      </c>
      <c r="N343">
        <v>12478.02</v>
      </c>
    </row>
    <row r="344" spans="1:14" ht="13.8">
      <c r="A344" t="s">
        <v>519</v>
      </c>
      <c r="B344" s="21">
        <v>45749</v>
      </c>
      <c r="C344" t="s">
        <v>15</v>
      </c>
      <c r="D344" t="s">
        <v>64</v>
      </c>
      <c r="E344" t="s">
        <v>215</v>
      </c>
      <c r="F344" t="s">
        <v>74</v>
      </c>
      <c r="G344" t="s">
        <v>26</v>
      </c>
      <c r="H344" t="s">
        <v>39</v>
      </c>
      <c r="I344">
        <v>11</v>
      </c>
      <c r="J344">
        <v>220.89</v>
      </c>
      <c r="K344">
        <v>0.1</v>
      </c>
      <c r="L344">
        <v>2186.81</v>
      </c>
      <c r="M344">
        <v>1667.24</v>
      </c>
      <c r="N344">
        <v>2187.19</v>
      </c>
    </row>
    <row r="345" spans="1:14" ht="13.8">
      <c r="A345" t="s">
        <v>520</v>
      </c>
      <c r="B345" s="21">
        <v>45697</v>
      </c>
      <c r="C345" t="s">
        <v>29</v>
      </c>
      <c r="D345" t="s">
        <v>16</v>
      </c>
      <c r="E345" t="s">
        <v>228</v>
      </c>
      <c r="F345" t="s">
        <v>32</v>
      </c>
      <c r="G345" t="s">
        <v>26</v>
      </c>
      <c r="H345" t="s">
        <v>40</v>
      </c>
      <c r="I345">
        <v>4</v>
      </c>
      <c r="J345">
        <v>465.89</v>
      </c>
      <c r="K345">
        <v>0.02</v>
      </c>
      <c r="L345">
        <v>1826.29</v>
      </c>
      <c r="M345">
        <v>1389.64</v>
      </c>
      <c r="N345">
        <v>1726.78</v>
      </c>
    </row>
    <row r="346" spans="1:14" ht="13.8">
      <c r="A346" t="s">
        <v>521</v>
      </c>
      <c r="B346" s="21">
        <v>45693</v>
      </c>
      <c r="C346" t="s">
        <v>67</v>
      </c>
      <c r="D346" t="s">
        <v>16</v>
      </c>
      <c r="E346" t="s">
        <v>120</v>
      </c>
      <c r="F346" t="s">
        <v>18</v>
      </c>
      <c r="G346" t="s">
        <v>19</v>
      </c>
      <c r="H346" t="s">
        <v>20</v>
      </c>
      <c r="I346">
        <v>4</v>
      </c>
      <c r="J346">
        <v>850.74</v>
      </c>
      <c r="K346">
        <v>0.05</v>
      </c>
      <c r="L346">
        <v>3232.81</v>
      </c>
      <c r="M346">
        <v>2501.21</v>
      </c>
      <c r="N346">
        <v>3583.45</v>
      </c>
    </row>
    <row r="347" spans="1:14" ht="13.8">
      <c r="A347" t="s">
        <v>522</v>
      </c>
      <c r="B347" s="21">
        <v>45992</v>
      </c>
      <c r="C347" t="s">
        <v>67</v>
      </c>
      <c r="D347" t="s">
        <v>68</v>
      </c>
      <c r="E347" t="s">
        <v>368</v>
      </c>
      <c r="F347" t="s">
        <v>32</v>
      </c>
      <c r="G347" t="s">
        <v>33</v>
      </c>
      <c r="H347" t="s">
        <v>41</v>
      </c>
      <c r="I347">
        <v>9</v>
      </c>
      <c r="J347">
        <v>83.15</v>
      </c>
      <c r="K347">
        <v>0.03</v>
      </c>
      <c r="L347">
        <v>725.9</v>
      </c>
      <c r="M347">
        <v>545.78</v>
      </c>
      <c r="N347">
        <v>809.94</v>
      </c>
    </row>
    <row r="348" spans="1:14" ht="13.8">
      <c r="A348" t="s">
        <v>523</v>
      </c>
      <c r="B348" s="21">
        <v>45934</v>
      </c>
      <c r="C348" t="s">
        <v>29</v>
      </c>
      <c r="D348" t="s">
        <v>82</v>
      </c>
      <c r="E348" t="s">
        <v>17</v>
      </c>
      <c r="F348" t="s">
        <v>25</v>
      </c>
      <c r="G348" t="s">
        <v>33</v>
      </c>
      <c r="H348" t="s">
        <v>34</v>
      </c>
      <c r="I348">
        <v>7</v>
      </c>
      <c r="J348">
        <v>36.659999999999997</v>
      </c>
      <c r="K348">
        <v>0.05</v>
      </c>
      <c r="L348">
        <v>243.79</v>
      </c>
      <c r="M348">
        <v>187.09</v>
      </c>
      <c r="N348">
        <v>266.12</v>
      </c>
    </row>
    <row r="349" spans="1:14" ht="13.8">
      <c r="A349" t="s">
        <v>524</v>
      </c>
      <c r="B349" s="21">
        <v>45969</v>
      </c>
      <c r="C349" t="s">
        <v>29</v>
      </c>
      <c r="D349" t="s">
        <v>23</v>
      </c>
      <c r="E349" t="s">
        <v>469</v>
      </c>
      <c r="F349" t="s">
        <v>18</v>
      </c>
      <c r="G349" t="s">
        <v>33</v>
      </c>
      <c r="H349" t="s">
        <v>42</v>
      </c>
      <c r="I349">
        <v>15</v>
      </c>
      <c r="J349">
        <v>62.93</v>
      </c>
      <c r="K349">
        <v>0.1</v>
      </c>
      <c r="L349">
        <v>849.56</v>
      </c>
      <c r="M349">
        <v>623.91999999999996</v>
      </c>
      <c r="N349">
        <v>824.47</v>
      </c>
    </row>
    <row r="350" spans="1:14" ht="13.8">
      <c r="A350" t="s">
        <v>525</v>
      </c>
      <c r="B350" s="21">
        <v>45702</v>
      </c>
      <c r="C350" t="s">
        <v>67</v>
      </c>
      <c r="D350" t="s">
        <v>82</v>
      </c>
      <c r="E350" t="s">
        <v>197</v>
      </c>
      <c r="F350" t="s">
        <v>74</v>
      </c>
      <c r="G350" t="s">
        <v>33</v>
      </c>
      <c r="H350" t="s">
        <v>43</v>
      </c>
      <c r="I350">
        <v>13</v>
      </c>
      <c r="J350">
        <v>71.5</v>
      </c>
      <c r="K350">
        <v>0.1</v>
      </c>
      <c r="L350">
        <v>836.55</v>
      </c>
      <c r="M350">
        <v>511.04</v>
      </c>
      <c r="N350">
        <v>875.54</v>
      </c>
    </row>
    <row r="351" spans="1:14" ht="13.8">
      <c r="A351" t="s">
        <v>526</v>
      </c>
      <c r="B351" s="21">
        <v>45939</v>
      </c>
      <c r="C351" t="s">
        <v>22</v>
      </c>
      <c r="D351" t="s">
        <v>64</v>
      </c>
      <c r="E351" t="s">
        <v>316</v>
      </c>
      <c r="F351" t="s">
        <v>74</v>
      </c>
      <c r="G351" t="s">
        <v>45</v>
      </c>
      <c r="H351" t="s">
        <v>44</v>
      </c>
      <c r="I351">
        <v>6</v>
      </c>
      <c r="J351">
        <v>258.83999999999997</v>
      </c>
      <c r="K351">
        <v>0.08</v>
      </c>
      <c r="L351">
        <v>1428.8</v>
      </c>
      <c r="M351">
        <v>857.57</v>
      </c>
      <c r="N351">
        <v>1513.23</v>
      </c>
    </row>
    <row r="352" spans="1:14" ht="13.8">
      <c r="A352" t="s">
        <v>527</v>
      </c>
      <c r="B352" s="21">
        <v>45778</v>
      </c>
      <c r="C352" t="s">
        <v>67</v>
      </c>
      <c r="D352" t="s">
        <v>64</v>
      </c>
      <c r="E352" t="s">
        <v>469</v>
      </c>
      <c r="F352" t="s">
        <v>32</v>
      </c>
      <c r="G352" t="s">
        <v>45</v>
      </c>
      <c r="H352" t="s">
        <v>44</v>
      </c>
      <c r="I352">
        <v>13</v>
      </c>
      <c r="J352">
        <v>266.33</v>
      </c>
      <c r="K352">
        <v>0.05</v>
      </c>
      <c r="L352">
        <v>3289.18</v>
      </c>
      <c r="M352">
        <v>2230.54</v>
      </c>
      <c r="N352">
        <v>2945.09</v>
      </c>
    </row>
    <row r="353" spans="1:14" ht="13.8">
      <c r="A353" t="s">
        <v>528</v>
      </c>
      <c r="B353" s="21">
        <v>45694</v>
      </c>
      <c r="C353" t="s">
        <v>67</v>
      </c>
      <c r="D353" t="s">
        <v>68</v>
      </c>
      <c r="E353" t="s">
        <v>307</v>
      </c>
      <c r="F353" t="s">
        <v>32</v>
      </c>
      <c r="G353" t="s">
        <v>45</v>
      </c>
      <c r="H353" t="s">
        <v>44</v>
      </c>
      <c r="I353">
        <v>13</v>
      </c>
      <c r="J353">
        <v>261.12</v>
      </c>
      <c r="K353">
        <v>0.02</v>
      </c>
      <c r="L353">
        <v>3326.67</v>
      </c>
      <c r="M353">
        <v>2672.21</v>
      </c>
      <c r="N353">
        <v>3538.56</v>
      </c>
    </row>
    <row r="354" spans="1:14" ht="13.8">
      <c r="A354" t="s">
        <v>529</v>
      </c>
      <c r="B354" s="21">
        <v>45925</v>
      </c>
      <c r="C354" t="s">
        <v>67</v>
      </c>
      <c r="D354" t="s">
        <v>64</v>
      </c>
      <c r="E354" t="s">
        <v>190</v>
      </c>
      <c r="F354" t="s">
        <v>25</v>
      </c>
      <c r="G354" t="s">
        <v>33</v>
      </c>
      <c r="H354" t="s">
        <v>43</v>
      </c>
      <c r="I354">
        <v>8</v>
      </c>
      <c r="J354">
        <v>75.53</v>
      </c>
      <c r="K354">
        <v>0.02</v>
      </c>
      <c r="L354">
        <v>592.16</v>
      </c>
      <c r="M354">
        <v>363.87</v>
      </c>
      <c r="N354">
        <v>628.72</v>
      </c>
    </row>
    <row r="355" spans="1:14" ht="13.8">
      <c r="A355" t="s">
        <v>530</v>
      </c>
      <c r="B355" s="21">
        <v>45845</v>
      </c>
      <c r="C355" t="s">
        <v>15</v>
      </c>
      <c r="D355" t="s">
        <v>30</v>
      </c>
      <c r="E355" t="s">
        <v>358</v>
      </c>
      <c r="F355" t="s">
        <v>32</v>
      </c>
      <c r="G355" t="s">
        <v>26</v>
      </c>
      <c r="H355" t="s">
        <v>39</v>
      </c>
      <c r="I355">
        <v>11</v>
      </c>
      <c r="J355">
        <v>212.79</v>
      </c>
      <c r="K355">
        <v>0.1</v>
      </c>
      <c r="L355">
        <v>2106.62</v>
      </c>
      <c r="M355">
        <v>1477.3</v>
      </c>
      <c r="N355">
        <v>2177.67</v>
      </c>
    </row>
    <row r="356" spans="1:14" ht="13.8">
      <c r="A356" t="s">
        <v>531</v>
      </c>
      <c r="B356" s="21">
        <v>45877</v>
      </c>
      <c r="C356" t="s">
        <v>67</v>
      </c>
      <c r="D356" t="s">
        <v>68</v>
      </c>
      <c r="E356" t="s">
        <v>469</v>
      </c>
      <c r="F356" t="s">
        <v>18</v>
      </c>
      <c r="G356" t="s">
        <v>19</v>
      </c>
      <c r="H356" t="s">
        <v>37</v>
      </c>
      <c r="I356">
        <v>7</v>
      </c>
      <c r="J356">
        <v>1061.92</v>
      </c>
      <c r="K356">
        <v>0.03</v>
      </c>
      <c r="L356">
        <v>7210.44</v>
      </c>
      <c r="M356">
        <v>4921.3599999999997</v>
      </c>
      <c r="N356">
        <v>6976.43</v>
      </c>
    </row>
    <row r="357" spans="1:14" ht="13.8">
      <c r="A357" t="s">
        <v>532</v>
      </c>
      <c r="B357" s="21">
        <v>45798</v>
      </c>
      <c r="C357" t="s">
        <v>29</v>
      </c>
      <c r="D357" t="s">
        <v>64</v>
      </c>
      <c r="E357" t="s">
        <v>492</v>
      </c>
      <c r="F357" t="s">
        <v>18</v>
      </c>
      <c r="G357" t="s">
        <v>33</v>
      </c>
      <c r="H357" t="s">
        <v>34</v>
      </c>
      <c r="I357">
        <v>5</v>
      </c>
      <c r="J357">
        <v>36.74</v>
      </c>
      <c r="K357">
        <v>0.1</v>
      </c>
      <c r="L357">
        <v>165.33</v>
      </c>
      <c r="M357">
        <v>103.26</v>
      </c>
      <c r="N357">
        <v>170.67</v>
      </c>
    </row>
    <row r="358" spans="1:14" ht="13.8">
      <c r="A358" t="s">
        <v>533</v>
      </c>
      <c r="B358" s="21">
        <v>46006</v>
      </c>
      <c r="C358" t="s">
        <v>67</v>
      </c>
      <c r="D358" t="s">
        <v>68</v>
      </c>
      <c r="E358" t="s">
        <v>188</v>
      </c>
      <c r="F358" t="s">
        <v>18</v>
      </c>
      <c r="G358" t="s">
        <v>19</v>
      </c>
      <c r="H358" t="s">
        <v>38</v>
      </c>
      <c r="I358">
        <v>6</v>
      </c>
      <c r="J358">
        <v>948.93</v>
      </c>
      <c r="K358">
        <v>0.1</v>
      </c>
      <c r="L358">
        <v>5124.22</v>
      </c>
      <c r="M358">
        <v>3342.42</v>
      </c>
      <c r="N358">
        <v>4965.3</v>
      </c>
    </row>
    <row r="359" spans="1:14" ht="13.8">
      <c r="A359" t="s">
        <v>534</v>
      </c>
      <c r="B359" s="21">
        <v>45942</v>
      </c>
      <c r="C359" t="s">
        <v>67</v>
      </c>
      <c r="D359" t="s">
        <v>30</v>
      </c>
      <c r="E359" t="s">
        <v>188</v>
      </c>
      <c r="F359" t="s">
        <v>25</v>
      </c>
      <c r="G359" t="s">
        <v>26</v>
      </c>
      <c r="H359" t="s">
        <v>39</v>
      </c>
      <c r="I359">
        <v>1</v>
      </c>
      <c r="J359">
        <v>221.55</v>
      </c>
      <c r="K359">
        <v>0</v>
      </c>
      <c r="L359">
        <v>221.55</v>
      </c>
      <c r="M359">
        <v>161.72</v>
      </c>
      <c r="N359">
        <v>211.26</v>
      </c>
    </row>
    <row r="360" spans="1:14" ht="13.8">
      <c r="A360" t="s">
        <v>535</v>
      </c>
      <c r="B360" s="21">
        <v>45793</v>
      </c>
      <c r="C360" t="s">
        <v>22</v>
      </c>
      <c r="D360" t="s">
        <v>30</v>
      </c>
      <c r="E360" t="s">
        <v>536</v>
      </c>
      <c r="F360" t="s">
        <v>32</v>
      </c>
      <c r="G360" t="s">
        <v>33</v>
      </c>
      <c r="H360" t="s">
        <v>41</v>
      </c>
      <c r="I360">
        <v>2</v>
      </c>
      <c r="J360">
        <v>85.21</v>
      </c>
      <c r="K360">
        <v>0.05</v>
      </c>
      <c r="L360">
        <v>161.9</v>
      </c>
      <c r="M360">
        <v>127.73</v>
      </c>
      <c r="N360">
        <v>150.31</v>
      </c>
    </row>
    <row r="361" spans="1:14" ht="13.8">
      <c r="A361" t="s">
        <v>537</v>
      </c>
      <c r="B361" s="21">
        <v>45680</v>
      </c>
      <c r="C361" t="s">
        <v>22</v>
      </c>
      <c r="D361" t="s">
        <v>68</v>
      </c>
      <c r="E361" t="s">
        <v>197</v>
      </c>
      <c r="F361" t="s">
        <v>32</v>
      </c>
      <c r="G361" t="s">
        <v>45</v>
      </c>
      <c r="H361" t="s">
        <v>46</v>
      </c>
      <c r="I361">
        <v>8</v>
      </c>
      <c r="J361">
        <v>335.77</v>
      </c>
      <c r="K361">
        <v>0</v>
      </c>
      <c r="L361">
        <v>2686.16</v>
      </c>
      <c r="M361">
        <v>2032.77</v>
      </c>
      <c r="N361">
        <v>2554.16</v>
      </c>
    </row>
    <row r="362" spans="1:14" ht="13.8">
      <c r="A362" t="s">
        <v>538</v>
      </c>
      <c r="B362" s="21">
        <v>45838</v>
      </c>
      <c r="C362" t="s">
        <v>67</v>
      </c>
      <c r="D362" t="s">
        <v>16</v>
      </c>
      <c r="E362" t="s">
        <v>83</v>
      </c>
      <c r="F362" t="s">
        <v>25</v>
      </c>
      <c r="G362" t="s">
        <v>26</v>
      </c>
      <c r="H362" t="s">
        <v>39</v>
      </c>
      <c r="I362">
        <v>7</v>
      </c>
      <c r="J362">
        <v>227.69</v>
      </c>
      <c r="K362">
        <v>0.02</v>
      </c>
      <c r="L362">
        <v>1561.95</v>
      </c>
      <c r="M362">
        <v>1254.96</v>
      </c>
      <c r="N362">
        <v>1446.34</v>
      </c>
    </row>
    <row r="363" spans="1:14" ht="13.8">
      <c r="A363" t="s">
        <v>539</v>
      </c>
      <c r="B363" s="21">
        <v>45826</v>
      </c>
      <c r="C363" t="s">
        <v>15</v>
      </c>
      <c r="D363" t="s">
        <v>16</v>
      </c>
      <c r="E363" t="s">
        <v>494</v>
      </c>
      <c r="F363" t="s">
        <v>74</v>
      </c>
      <c r="G363" t="s">
        <v>19</v>
      </c>
      <c r="H363" t="s">
        <v>37</v>
      </c>
      <c r="I363">
        <v>2</v>
      </c>
      <c r="J363">
        <v>1128.1600000000001</v>
      </c>
      <c r="K363">
        <v>0.05</v>
      </c>
      <c r="L363">
        <v>2143.5</v>
      </c>
      <c r="M363">
        <v>1471.55</v>
      </c>
      <c r="N363">
        <v>2099.62</v>
      </c>
    </row>
    <row r="364" spans="1:14" ht="13.8">
      <c r="A364" t="s">
        <v>540</v>
      </c>
      <c r="B364" s="21">
        <v>45894</v>
      </c>
      <c r="C364" t="s">
        <v>22</v>
      </c>
      <c r="D364" t="s">
        <v>68</v>
      </c>
      <c r="E364" t="s">
        <v>273</v>
      </c>
      <c r="F364" t="s">
        <v>18</v>
      </c>
      <c r="G364" t="s">
        <v>45</v>
      </c>
      <c r="H364" t="s">
        <v>46</v>
      </c>
      <c r="I364">
        <v>14</v>
      </c>
      <c r="J364">
        <v>337.83</v>
      </c>
      <c r="K364">
        <v>0.05</v>
      </c>
      <c r="L364">
        <v>4493.1400000000003</v>
      </c>
      <c r="M364">
        <v>2870.09</v>
      </c>
      <c r="N364">
        <v>4024.16</v>
      </c>
    </row>
    <row r="365" spans="1:14" ht="13.8">
      <c r="A365" t="s">
        <v>541</v>
      </c>
      <c r="B365" s="21">
        <v>46001</v>
      </c>
      <c r="C365" t="s">
        <v>67</v>
      </c>
      <c r="D365" t="s">
        <v>68</v>
      </c>
      <c r="E365" t="s">
        <v>342</v>
      </c>
      <c r="F365" t="s">
        <v>74</v>
      </c>
      <c r="G365" t="s">
        <v>26</v>
      </c>
      <c r="H365" t="s">
        <v>39</v>
      </c>
      <c r="I365">
        <v>12</v>
      </c>
      <c r="J365">
        <v>213.41</v>
      </c>
      <c r="K365">
        <v>0.08</v>
      </c>
      <c r="L365">
        <v>2356.0500000000002</v>
      </c>
      <c r="M365">
        <v>1434.67</v>
      </c>
      <c r="N365">
        <v>2457.7399999999998</v>
      </c>
    </row>
    <row r="366" spans="1:14" ht="13.8">
      <c r="A366" t="s">
        <v>542</v>
      </c>
      <c r="B366" s="21">
        <v>45718</v>
      </c>
      <c r="C366" t="s">
        <v>15</v>
      </c>
      <c r="D366" t="s">
        <v>23</v>
      </c>
      <c r="E366" t="s">
        <v>333</v>
      </c>
      <c r="F366" t="s">
        <v>74</v>
      </c>
      <c r="G366" t="s">
        <v>19</v>
      </c>
      <c r="H366" t="s">
        <v>37</v>
      </c>
      <c r="I366">
        <v>4</v>
      </c>
      <c r="J366">
        <v>1138.27</v>
      </c>
      <c r="K366">
        <v>0.08</v>
      </c>
      <c r="L366">
        <v>4188.83</v>
      </c>
      <c r="M366">
        <v>3266.64</v>
      </c>
      <c r="N366">
        <v>3788.42</v>
      </c>
    </row>
    <row r="367" spans="1:14" ht="13.8">
      <c r="A367" t="s">
        <v>543</v>
      </c>
      <c r="B367" s="21">
        <v>45686</v>
      </c>
      <c r="C367" t="s">
        <v>22</v>
      </c>
      <c r="D367" t="s">
        <v>64</v>
      </c>
      <c r="E367" t="s">
        <v>273</v>
      </c>
      <c r="F367" t="s">
        <v>74</v>
      </c>
      <c r="G367" t="s">
        <v>45</v>
      </c>
      <c r="H367" t="s">
        <v>44</v>
      </c>
      <c r="I367">
        <v>4</v>
      </c>
      <c r="J367">
        <v>265.49</v>
      </c>
      <c r="K367">
        <v>0.05</v>
      </c>
      <c r="L367">
        <v>1008.86</v>
      </c>
      <c r="M367">
        <v>796.86</v>
      </c>
      <c r="N367">
        <v>1021.06</v>
      </c>
    </row>
    <row r="368" spans="1:14" ht="13.8">
      <c r="A368" t="s">
        <v>544</v>
      </c>
      <c r="B368" s="21">
        <v>45683</v>
      </c>
      <c r="C368" t="s">
        <v>67</v>
      </c>
      <c r="D368" t="s">
        <v>64</v>
      </c>
      <c r="E368" t="s">
        <v>228</v>
      </c>
      <c r="F368" t="s">
        <v>18</v>
      </c>
      <c r="G368" t="s">
        <v>45</v>
      </c>
      <c r="H368" t="s">
        <v>44</v>
      </c>
      <c r="I368">
        <v>3</v>
      </c>
      <c r="J368">
        <v>255.33</v>
      </c>
      <c r="K368">
        <v>0.02</v>
      </c>
      <c r="L368">
        <v>750.67</v>
      </c>
      <c r="M368">
        <v>535.98</v>
      </c>
      <c r="N368">
        <v>661.68</v>
      </c>
    </row>
    <row r="369" spans="1:14" ht="13.8">
      <c r="A369" t="s">
        <v>545</v>
      </c>
      <c r="B369" s="21">
        <v>45818</v>
      </c>
      <c r="C369" t="s">
        <v>22</v>
      </c>
      <c r="D369" t="s">
        <v>82</v>
      </c>
      <c r="E369" t="s">
        <v>143</v>
      </c>
      <c r="F369" t="s">
        <v>32</v>
      </c>
      <c r="G369" t="s">
        <v>33</v>
      </c>
      <c r="H369" t="s">
        <v>34</v>
      </c>
      <c r="I369">
        <v>5</v>
      </c>
      <c r="J369">
        <v>35.57</v>
      </c>
      <c r="K369">
        <v>0.03</v>
      </c>
      <c r="L369">
        <v>172.51</v>
      </c>
      <c r="M369">
        <v>124.6</v>
      </c>
      <c r="N369">
        <v>172.96</v>
      </c>
    </row>
    <row r="370" spans="1:14" ht="13.8">
      <c r="A370" t="s">
        <v>546</v>
      </c>
      <c r="B370" s="21">
        <v>45813</v>
      </c>
      <c r="C370" t="s">
        <v>29</v>
      </c>
      <c r="D370" t="s">
        <v>23</v>
      </c>
      <c r="E370" t="s">
        <v>143</v>
      </c>
      <c r="F370" t="s">
        <v>25</v>
      </c>
      <c r="G370" t="s">
        <v>26</v>
      </c>
      <c r="H370" t="s">
        <v>39</v>
      </c>
      <c r="I370">
        <v>14</v>
      </c>
      <c r="J370">
        <v>217.36</v>
      </c>
      <c r="K370">
        <v>0.05</v>
      </c>
      <c r="L370">
        <v>2890.89</v>
      </c>
      <c r="M370">
        <v>2279.35</v>
      </c>
      <c r="N370">
        <v>2722.35</v>
      </c>
    </row>
    <row r="371" spans="1:14" ht="13.8">
      <c r="A371" t="s">
        <v>547</v>
      </c>
      <c r="B371" s="21">
        <v>45932</v>
      </c>
      <c r="C371" t="s">
        <v>67</v>
      </c>
      <c r="D371" t="s">
        <v>30</v>
      </c>
      <c r="E371" t="s">
        <v>207</v>
      </c>
      <c r="F371" t="s">
        <v>74</v>
      </c>
      <c r="G371" t="s">
        <v>45</v>
      </c>
      <c r="H371" t="s">
        <v>44</v>
      </c>
      <c r="I371">
        <v>6</v>
      </c>
      <c r="J371">
        <v>271.24</v>
      </c>
      <c r="K371">
        <v>0.1</v>
      </c>
      <c r="L371">
        <v>1464.7</v>
      </c>
      <c r="M371">
        <v>1036.3900000000001</v>
      </c>
      <c r="N371">
        <v>1494.15</v>
      </c>
    </row>
    <row r="372" spans="1:14" ht="13.8">
      <c r="A372" t="s">
        <v>548</v>
      </c>
      <c r="B372" s="21">
        <v>46019</v>
      </c>
      <c r="C372" t="s">
        <v>67</v>
      </c>
      <c r="D372" t="s">
        <v>16</v>
      </c>
      <c r="E372" t="s">
        <v>305</v>
      </c>
      <c r="F372" t="s">
        <v>25</v>
      </c>
      <c r="G372" t="s">
        <v>33</v>
      </c>
      <c r="H372" t="s">
        <v>42</v>
      </c>
      <c r="I372">
        <v>11</v>
      </c>
      <c r="J372">
        <v>57.31</v>
      </c>
      <c r="K372">
        <v>0.03</v>
      </c>
      <c r="L372">
        <v>611.5</v>
      </c>
      <c r="M372">
        <v>368.04</v>
      </c>
      <c r="N372">
        <v>548.04999999999995</v>
      </c>
    </row>
    <row r="373" spans="1:14" ht="13.8">
      <c r="A373" t="s">
        <v>549</v>
      </c>
      <c r="B373" s="21">
        <v>45882</v>
      </c>
      <c r="C373" t="s">
        <v>22</v>
      </c>
      <c r="D373" t="s">
        <v>23</v>
      </c>
      <c r="E373" t="s">
        <v>283</v>
      </c>
      <c r="F373" t="s">
        <v>25</v>
      </c>
      <c r="G373" t="s">
        <v>26</v>
      </c>
      <c r="H373" t="s">
        <v>27</v>
      </c>
      <c r="I373">
        <v>4</v>
      </c>
      <c r="J373">
        <v>326.74</v>
      </c>
      <c r="K373">
        <v>0.08</v>
      </c>
      <c r="L373">
        <v>1202.4000000000001</v>
      </c>
      <c r="M373">
        <v>882.99</v>
      </c>
      <c r="N373">
        <v>1175.28</v>
      </c>
    </row>
    <row r="374" spans="1:14" ht="13.8">
      <c r="A374" t="s">
        <v>550</v>
      </c>
      <c r="B374" s="21">
        <v>45687</v>
      </c>
      <c r="C374" t="s">
        <v>15</v>
      </c>
      <c r="D374" t="s">
        <v>64</v>
      </c>
      <c r="E374" t="s">
        <v>76</v>
      </c>
      <c r="F374" t="s">
        <v>25</v>
      </c>
      <c r="G374" t="s">
        <v>19</v>
      </c>
      <c r="H374" t="s">
        <v>38</v>
      </c>
      <c r="I374">
        <v>7</v>
      </c>
      <c r="J374">
        <v>984.02</v>
      </c>
      <c r="K374">
        <v>0</v>
      </c>
      <c r="L374">
        <v>6888.14</v>
      </c>
      <c r="M374">
        <v>4207.08</v>
      </c>
      <c r="N374">
        <v>7487.62</v>
      </c>
    </row>
    <row r="375" spans="1:14" ht="13.8">
      <c r="A375" t="s">
        <v>551</v>
      </c>
      <c r="B375" s="21">
        <v>45665</v>
      </c>
      <c r="C375" t="s">
        <v>67</v>
      </c>
      <c r="D375" t="s">
        <v>23</v>
      </c>
      <c r="E375" t="s">
        <v>162</v>
      </c>
      <c r="F375" t="s">
        <v>25</v>
      </c>
      <c r="G375" t="s">
        <v>45</v>
      </c>
      <c r="H375" t="s">
        <v>46</v>
      </c>
      <c r="I375">
        <v>9</v>
      </c>
      <c r="J375">
        <v>348.06</v>
      </c>
      <c r="K375">
        <v>0.02</v>
      </c>
      <c r="L375">
        <v>3069.89</v>
      </c>
      <c r="M375">
        <v>2178.42</v>
      </c>
      <c r="N375">
        <v>3197.98</v>
      </c>
    </row>
    <row r="376" spans="1:14" ht="13.8">
      <c r="A376" t="s">
        <v>552</v>
      </c>
      <c r="B376" s="21">
        <v>45732</v>
      </c>
      <c r="C376" t="s">
        <v>15</v>
      </c>
      <c r="D376" t="s">
        <v>16</v>
      </c>
      <c r="E376" t="s">
        <v>131</v>
      </c>
      <c r="F376" t="s">
        <v>25</v>
      </c>
      <c r="G376" t="s">
        <v>45</v>
      </c>
      <c r="H376" t="s">
        <v>47</v>
      </c>
      <c r="I376">
        <v>15</v>
      </c>
      <c r="J376">
        <v>429.04</v>
      </c>
      <c r="K376">
        <v>0.08</v>
      </c>
      <c r="L376">
        <v>5920.75</v>
      </c>
      <c r="M376">
        <v>3683.83</v>
      </c>
      <c r="N376">
        <v>5345.59</v>
      </c>
    </row>
    <row r="377" spans="1:14" ht="13.8">
      <c r="A377" t="s">
        <v>553</v>
      </c>
      <c r="B377" s="21">
        <v>45995</v>
      </c>
      <c r="C377" t="s">
        <v>29</v>
      </c>
      <c r="D377" t="s">
        <v>16</v>
      </c>
      <c r="E377" t="s">
        <v>96</v>
      </c>
      <c r="F377" t="s">
        <v>74</v>
      </c>
      <c r="G377" t="s">
        <v>26</v>
      </c>
      <c r="H377" t="s">
        <v>27</v>
      </c>
      <c r="I377">
        <v>12</v>
      </c>
      <c r="J377">
        <v>332.99</v>
      </c>
      <c r="K377">
        <v>0.1</v>
      </c>
      <c r="L377">
        <v>3596.29</v>
      </c>
      <c r="M377">
        <v>2493.69</v>
      </c>
      <c r="N377">
        <v>3914.06</v>
      </c>
    </row>
    <row r="378" spans="1:14" ht="13.8">
      <c r="A378" t="s">
        <v>554</v>
      </c>
      <c r="B378" s="21">
        <v>45808</v>
      </c>
      <c r="C378" t="s">
        <v>67</v>
      </c>
      <c r="D378" t="s">
        <v>30</v>
      </c>
      <c r="E378" t="s">
        <v>120</v>
      </c>
      <c r="F378" t="s">
        <v>25</v>
      </c>
      <c r="G378" t="s">
        <v>45</v>
      </c>
      <c r="H378" t="s">
        <v>47</v>
      </c>
      <c r="I378">
        <v>4</v>
      </c>
      <c r="J378">
        <v>435.74</v>
      </c>
      <c r="K378">
        <v>0.03</v>
      </c>
      <c r="L378">
        <v>1690.67</v>
      </c>
      <c r="M378">
        <v>1277.3499999999999</v>
      </c>
      <c r="N378">
        <v>1779.68</v>
      </c>
    </row>
    <row r="379" spans="1:14" ht="13.8">
      <c r="A379" t="s">
        <v>555</v>
      </c>
      <c r="B379" s="21">
        <v>45735</v>
      </c>
      <c r="C379" t="s">
        <v>29</v>
      </c>
      <c r="D379" t="s">
        <v>82</v>
      </c>
      <c r="E379" t="s">
        <v>270</v>
      </c>
      <c r="F379" t="s">
        <v>25</v>
      </c>
      <c r="G379" t="s">
        <v>45</v>
      </c>
      <c r="H379" t="s">
        <v>47</v>
      </c>
      <c r="I379">
        <v>11</v>
      </c>
      <c r="J379">
        <v>440.16</v>
      </c>
      <c r="K379">
        <v>0.05</v>
      </c>
      <c r="L379">
        <v>4599.67</v>
      </c>
      <c r="M379">
        <v>3745.6</v>
      </c>
      <c r="N379">
        <v>4409.37</v>
      </c>
    </row>
    <row r="380" spans="1:14" ht="13.8">
      <c r="A380" t="s">
        <v>556</v>
      </c>
      <c r="B380" s="21">
        <v>45993</v>
      </c>
      <c r="C380" t="s">
        <v>67</v>
      </c>
      <c r="D380" t="s">
        <v>82</v>
      </c>
      <c r="E380" t="s">
        <v>156</v>
      </c>
      <c r="F380" t="s">
        <v>18</v>
      </c>
      <c r="G380" t="s">
        <v>33</v>
      </c>
      <c r="H380" t="s">
        <v>42</v>
      </c>
      <c r="I380">
        <v>12</v>
      </c>
      <c r="J380">
        <v>57.56</v>
      </c>
      <c r="K380">
        <v>0.05</v>
      </c>
      <c r="L380">
        <v>656.18</v>
      </c>
      <c r="M380">
        <v>415.21</v>
      </c>
      <c r="N380">
        <v>606.41</v>
      </c>
    </row>
    <row r="381" spans="1:14" ht="13.8">
      <c r="A381" t="s">
        <v>557</v>
      </c>
      <c r="B381" s="21">
        <v>45677</v>
      </c>
      <c r="C381" t="s">
        <v>15</v>
      </c>
      <c r="D381" t="s">
        <v>30</v>
      </c>
      <c r="E381" t="s">
        <v>170</v>
      </c>
      <c r="F381" t="s">
        <v>32</v>
      </c>
      <c r="G381" t="s">
        <v>26</v>
      </c>
      <c r="H381" t="s">
        <v>40</v>
      </c>
      <c r="I381">
        <v>2</v>
      </c>
      <c r="J381">
        <v>457.09</v>
      </c>
      <c r="K381">
        <v>0.02</v>
      </c>
      <c r="L381">
        <v>895.9</v>
      </c>
      <c r="M381">
        <v>733.87</v>
      </c>
      <c r="N381">
        <v>990.38</v>
      </c>
    </row>
    <row r="382" spans="1:14" ht="13.8">
      <c r="A382" t="s">
        <v>558</v>
      </c>
      <c r="B382" s="21">
        <v>45667</v>
      </c>
      <c r="C382" t="s">
        <v>67</v>
      </c>
      <c r="D382" t="s">
        <v>64</v>
      </c>
      <c r="E382" t="s">
        <v>326</v>
      </c>
      <c r="F382" t="s">
        <v>18</v>
      </c>
      <c r="G382" t="s">
        <v>45</v>
      </c>
      <c r="H382" t="s">
        <v>47</v>
      </c>
      <c r="I382">
        <v>13</v>
      </c>
      <c r="J382">
        <v>419.86</v>
      </c>
      <c r="K382">
        <v>0</v>
      </c>
      <c r="L382">
        <v>5458.18</v>
      </c>
      <c r="M382">
        <v>3515.68</v>
      </c>
      <c r="N382">
        <v>5169.99</v>
      </c>
    </row>
    <row r="383" spans="1:14" ht="13.8">
      <c r="A383" t="s">
        <v>559</v>
      </c>
      <c r="B383" s="21">
        <v>45761</v>
      </c>
      <c r="C383" t="s">
        <v>15</v>
      </c>
      <c r="D383" t="s">
        <v>16</v>
      </c>
      <c r="E383" t="s">
        <v>145</v>
      </c>
      <c r="F383" t="s">
        <v>25</v>
      </c>
      <c r="G383" t="s">
        <v>19</v>
      </c>
      <c r="H383" t="s">
        <v>38</v>
      </c>
      <c r="I383">
        <v>8</v>
      </c>
      <c r="J383">
        <v>928.26</v>
      </c>
      <c r="K383">
        <v>0.02</v>
      </c>
      <c r="L383">
        <v>7277.56</v>
      </c>
      <c r="M383">
        <v>5293.21</v>
      </c>
      <c r="N383">
        <v>6928</v>
      </c>
    </row>
    <row r="384" spans="1:14" ht="13.8">
      <c r="A384" t="s">
        <v>560</v>
      </c>
      <c r="B384" s="21">
        <v>45735</v>
      </c>
      <c r="C384" t="s">
        <v>67</v>
      </c>
      <c r="D384" t="s">
        <v>82</v>
      </c>
      <c r="E384" t="s">
        <v>153</v>
      </c>
      <c r="F384" t="s">
        <v>25</v>
      </c>
      <c r="G384" t="s">
        <v>45</v>
      </c>
      <c r="H384" t="s">
        <v>44</v>
      </c>
      <c r="I384">
        <v>5</v>
      </c>
      <c r="J384">
        <v>248.3</v>
      </c>
      <c r="K384">
        <v>0.03</v>
      </c>
      <c r="L384">
        <v>1204.25</v>
      </c>
      <c r="M384">
        <v>815.34</v>
      </c>
      <c r="N384">
        <v>1198.77</v>
      </c>
    </row>
    <row r="385" spans="1:14" ht="13.8">
      <c r="A385" t="s">
        <v>561</v>
      </c>
      <c r="B385" s="21">
        <v>45714</v>
      </c>
      <c r="C385" t="s">
        <v>15</v>
      </c>
      <c r="D385" t="s">
        <v>23</v>
      </c>
      <c r="E385" t="s">
        <v>168</v>
      </c>
      <c r="F385" t="s">
        <v>74</v>
      </c>
      <c r="G385" t="s">
        <v>45</v>
      </c>
      <c r="H385" t="s">
        <v>47</v>
      </c>
      <c r="I385">
        <v>14</v>
      </c>
      <c r="J385">
        <v>411.53</v>
      </c>
      <c r="K385">
        <v>0</v>
      </c>
      <c r="L385">
        <v>5761.42</v>
      </c>
      <c r="M385">
        <v>4374.12</v>
      </c>
      <c r="N385">
        <v>5699.17</v>
      </c>
    </row>
    <row r="386" spans="1:14" ht="13.8">
      <c r="A386" t="s">
        <v>562</v>
      </c>
      <c r="B386" s="21">
        <v>45894</v>
      </c>
      <c r="C386" t="s">
        <v>29</v>
      </c>
      <c r="D386" t="s">
        <v>68</v>
      </c>
      <c r="E386" t="s">
        <v>195</v>
      </c>
      <c r="F386" t="s">
        <v>32</v>
      </c>
      <c r="G386" t="s">
        <v>19</v>
      </c>
      <c r="H386" t="s">
        <v>20</v>
      </c>
      <c r="I386">
        <v>1</v>
      </c>
      <c r="J386">
        <v>810.87</v>
      </c>
      <c r="K386">
        <v>0.08</v>
      </c>
      <c r="L386">
        <v>746</v>
      </c>
      <c r="M386">
        <v>463.56</v>
      </c>
      <c r="N386">
        <v>772.29</v>
      </c>
    </row>
    <row r="387" spans="1:14" ht="13.8">
      <c r="A387" t="s">
        <v>563</v>
      </c>
      <c r="B387" s="21">
        <v>45697</v>
      </c>
      <c r="C387" t="s">
        <v>15</v>
      </c>
      <c r="D387" t="s">
        <v>30</v>
      </c>
      <c r="E387" t="s">
        <v>17</v>
      </c>
      <c r="F387" t="s">
        <v>74</v>
      </c>
      <c r="G387" t="s">
        <v>26</v>
      </c>
      <c r="H387" t="s">
        <v>40</v>
      </c>
      <c r="I387">
        <v>12</v>
      </c>
      <c r="J387">
        <v>457.34</v>
      </c>
      <c r="K387">
        <v>0.02</v>
      </c>
      <c r="L387">
        <v>5378.32</v>
      </c>
      <c r="M387">
        <v>3652.29</v>
      </c>
      <c r="N387">
        <v>5588.39</v>
      </c>
    </row>
    <row r="388" spans="1:14" ht="13.8">
      <c r="A388" t="s">
        <v>564</v>
      </c>
      <c r="B388" s="21">
        <v>45813</v>
      </c>
      <c r="C388" t="s">
        <v>15</v>
      </c>
      <c r="D388" t="s">
        <v>30</v>
      </c>
      <c r="E388" t="s">
        <v>172</v>
      </c>
      <c r="F388" t="s">
        <v>25</v>
      </c>
      <c r="G388" t="s">
        <v>19</v>
      </c>
      <c r="H388" t="s">
        <v>38</v>
      </c>
      <c r="I388">
        <v>5</v>
      </c>
      <c r="J388">
        <v>911.43</v>
      </c>
      <c r="K388">
        <v>0.02</v>
      </c>
      <c r="L388">
        <v>4466.01</v>
      </c>
      <c r="M388">
        <v>2794.63</v>
      </c>
      <c r="N388">
        <v>4461.8599999999997</v>
      </c>
    </row>
    <row r="389" spans="1:14" ht="13.8">
      <c r="A389" t="s">
        <v>565</v>
      </c>
      <c r="B389" s="21">
        <v>45741</v>
      </c>
      <c r="C389" t="s">
        <v>22</v>
      </c>
      <c r="D389" t="s">
        <v>64</v>
      </c>
      <c r="E389" t="s">
        <v>190</v>
      </c>
      <c r="F389" t="s">
        <v>25</v>
      </c>
      <c r="G389" t="s">
        <v>33</v>
      </c>
      <c r="H389" t="s">
        <v>43</v>
      </c>
      <c r="I389">
        <v>9</v>
      </c>
      <c r="J389">
        <v>71.569999999999993</v>
      </c>
      <c r="K389">
        <v>0.03</v>
      </c>
      <c r="L389">
        <v>624.80999999999995</v>
      </c>
      <c r="M389">
        <v>425.32</v>
      </c>
      <c r="N389">
        <v>579.48</v>
      </c>
    </row>
    <row r="390" spans="1:14" ht="13.8">
      <c r="A390" t="s">
        <v>566</v>
      </c>
      <c r="B390" s="21">
        <v>45780</v>
      </c>
      <c r="C390" t="s">
        <v>15</v>
      </c>
      <c r="D390" t="s">
        <v>68</v>
      </c>
      <c r="E390" t="s">
        <v>108</v>
      </c>
      <c r="F390" t="s">
        <v>25</v>
      </c>
      <c r="G390" t="s">
        <v>45</v>
      </c>
      <c r="H390" t="s">
        <v>46</v>
      </c>
      <c r="I390">
        <v>14</v>
      </c>
      <c r="J390">
        <v>341.18</v>
      </c>
      <c r="K390">
        <v>0.02</v>
      </c>
      <c r="L390">
        <v>4680.99</v>
      </c>
      <c r="M390">
        <v>3725.76</v>
      </c>
      <c r="N390">
        <v>4136.25</v>
      </c>
    </row>
    <row r="391" spans="1:14" ht="13.8">
      <c r="A391" t="s">
        <v>567</v>
      </c>
      <c r="B391" s="21">
        <v>46010</v>
      </c>
      <c r="C391" t="s">
        <v>15</v>
      </c>
      <c r="D391" t="s">
        <v>68</v>
      </c>
      <c r="E391" t="s">
        <v>180</v>
      </c>
      <c r="F391" t="s">
        <v>18</v>
      </c>
      <c r="G391" t="s">
        <v>45</v>
      </c>
      <c r="H391" t="s">
        <v>46</v>
      </c>
      <c r="I391">
        <v>4</v>
      </c>
      <c r="J391">
        <v>325.95999999999998</v>
      </c>
      <c r="K391">
        <v>0.02</v>
      </c>
      <c r="L391">
        <v>1277.76</v>
      </c>
      <c r="M391">
        <v>809.85</v>
      </c>
      <c r="N391">
        <v>1205.44</v>
      </c>
    </row>
    <row r="392" spans="1:14" ht="13.8">
      <c r="A392" t="s">
        <v>568</v>
      </c>
      <c r="B392" s="21">
        <v>45807</v>
      </c>
      <c r="C392" t="s">
        <v>15</v>
      </c>
      <c r="D392" t="s">
        <v>23</v>
      </c>
      <c r="E392" t="s">
        <v>481</v>
      </c>
      <c r="F392" t="s">
        <v>32</v>
      </c>
      <c r="G392" t="s">
        <v>33</v>
      </c>
      <c r="H392" t="s">
        <v>43</v>
      </c>
      <c r="I392">
        <v>15</v>
      </c>
      <c r="J392">
        <v>72.16</v>
      </c>
      <c r="K392">
        <v>0.1</v>
      </c>
      <c r="L392">
        <v>974.16</v>
      </c>
      <c r="M392">
        <v>708.48</v>
      </c>
      <c r="N392">
        <v>911.95</v>
      </c>
    </row>
    <row r="393" spans="1:14" ht="13.8">
      <c r="A393" t="s">
        <v>569</v>
      </c>
      <c r="B393" s="21">
        <v>45708</v>
      </c>
      <c r="C393" t="s">
        <v>15</v>
      </c>
      <c r="D393" t="s">
        <v>68</v>
      </c>
      <c r="E393" t="s">
        <v>494</v>
      </c>
      <c r="F393" t="s">
        <v>25</v>
      </c>
      <c r="G393" t="s">
        <v>19</v>
      </c>
      <c r="H393" t="s">
        <v>20</v>
      </c>
      <c r="I393">
        <v>4</v>
      </c>
      <c r="J393">
        <v>860.05</v>
      </c>
      <c r="K393">
        <v>0.1</v>
      </c>
      <c r="L393">
        <v>3096.18</v>
      </c>
      <c r="M393">
        <v>1976.71</v>
      </c>
      <c r="N393">
        <v>2950.24</v>
      </c>
    </row>
    <row r="394" spans="1:14" ht="13.8">
      <c r="A394" t="s">
        <v>570</v>
      </c>
      <c r="B394" s="21">
        <v>45663</v>
      </c>
      <c r="C394" t="s">
        <v>29</v>
      </c>
      <c r="D394" t="s">
        <v>82</v>
      </c>
      <c r="E394" t="s">
        <v>336</v>
      </c>
      <c r="F394" t="s">
        <v>25</v>
      </c>
      <c r="G394" t="s">
        <v>26</v>
      </c>
      <c r="H394" t="s">
        <v>40</v>
      </c>
      <c r="I394">
        <v>15</v>
      </c>
      <c r="J394">
        <v>446.04</v>
      </c>
      <c r="K394">
        <v>0.05</v>
      </c>
      <c r="L394">
        <v>6356.07</v>
      </c>
      <c r="M394">
        <v>3858.72</v>
      </c>
      <c r="N394">
        <v>6796.34</v>
      </c>
    </row>
    <row r="395" spans="1:14" ht="13.8">
      <c r="A395" t="s">
        <v>571</v>
      </c>
      <c r="B395" s="21">
        <v>45735</v>
      </c>
      <c r="C395" t="s">
        <v>67</v>
      </c>
      <c r="D395" t="s">
        <v>82</v>
      </c>
      <c r="E395" t="s">
        <v>218</v>
      </c>
      <c r="F395" t="s">
        <v>18</v>
      </c>
      <c r="G395" t="s">
        <v>45</v>
      </c>
      <c r="H395" t="s">
        <v>47</v>
      </c>
      <c r="I395">
        <v>6</v>
      </c>
      <c r="J395">
        <v>431.35</v>
      </c>
      <c r="K395">
        <v>0.02</v>
      </c>
      <c r="L395">
        <v>2536.34</v>
      </c>
      <c r="M395">
        <v>1632.4</v>
      </c>
      <c r="N395">
        <v>2365.6799999999998</v>
      </c>
    </row>
    <row r="396" spans="1:14" ht="13.8">
      <c r="A396" t="s">
        <v>572</v>
      </c>
      <c r="B396" s="21">
        <v>45903</v>
      </c>
      <c r="C396" t="s">
        <v>15</v>
      </c>
      <c r="D396" t="s">
        <v>23</v>
      </c>
      <c r="E396" t="s">
        <v>224</v>
      </c>
      <c r="F396" t="s">
        <v>18</v>
      </c>
      <c r="G396" t="s">
        <v>19</v>
      </c>
      <c r="H396" t="s">
        <v>20</v>
      </c>
      <c r="I396">
        <v>8</v>
      </c>
      <c r="J396">
        <v>852.17</v>
      </c>
      <c r="K396">
        <v>0.03</v>
      </c>
      <c r="L396">
        <v>6612.84</v>
      </c>
      <c r="M396">
        <v>5288.82</v>
      </c>
      <c r="N396">
        <v>7011.93</v>
      </c>
    </row>
    <row r="397" spans="1:14" ht="13.8">
      <c r="A397" t="s">
        <v>573</v>
      </c>
      <c r="B397" s="21">
        <v>45845</v>
      </c>
      <c r="C397" t="s">
        <v>22</v>
      </c>
      <c r="D397" t="s">
        <v>82</v>
      </c>
      <c r="E397" t="s">
        <v>342</v>
      </c>
      <c r="F397" t="s">
        <v>74</v>
      </c>
      <c r="G397" t="s">
        <v>45</v>
      </c>
      <c r="H397" t="s">
        <v>47</v>
      </c>
      <c r="I397">
        <v>7</v>
      </c>
      <c r="J397">
        <v>402.88</v>
      </c>
      <c r="K397">
        <v>0.1</v>
      </c>
      <c r="L397">
        <v>2538.14</v>
      </c>
      <c r="M397">
        <v>2065.2800000000002</v>
      </c>
      <c r="N397">
        <v>2588.56</v>
      </c>
    </row>
    <row r="398" spans="1:14" ht="13.8">
      <c r="A398" t="s">
        <v>574</v>
      </c>
      <c r="B398" s="21">
        <v>45727</v>
      </c>
      <c r="C398" t="s">
        <v>29</v>
      </c>
      <c r="D398" t="s">
        <v>68</v>
      </c>
      <c r="E398" t="s">
        <v>85</v>
      </c>
      <c r="F398" t="s">
        <v>32</v>
      </c>
      <c r="G398" t="s">
        <v>26</v>
      </c>
      <c r="H398" t="s">
        <v>27</v>
      </c>
      <c r="I398">
        <v>14</v>
      </c>
      <c r="J398">
        <v>326.2</v>
      </c>
      <c r="K398">
        <v>0.03</v>
      </c>
      <c r="L398">
        <v>4429.8</v>
      </c>
      <c r="M398">
        <v>3539.64</v>
      </c>
      <c r="N398">
        <v>4690.2299999999996</v>
      </c>
    </row>
    <row r="399" spans="1:14" ht="13.8">
      <c r="A399" t="s">
        <v>575</v>
      </c>
      <c r="B399" s="21">
        <v>45961</v>
      </c>
      <c r="C399" t="s">
        <v>67</v>
      </c>
      <c r="D399" t="s">
        <v>23</v>
      </c>
      <c r="E399" t="s">
        <v>256</v>
      </c>
      <c r="F399" t="s">
        <v>25</v>
      </c>
      <c r="G399" t="s">
        <v>33</v>
      </c>
      <c r="H399" t="s">
        <v>42</v>
      </c>
      <c r="I399">
        <v>11</v>
      </c>
      <c r="J399">
        <v>62.68</v>
      </c>
      <c r="K399">
        <v>0</v>
      </c>
      <c r="L399">
        <v>689.48</v>
      </c>
      <c r="M399">
        <v>424.01</v>
      </c>
      <c r="N399">
        <v>736.34</v>
      </c>
    </row>
    <row r="400" spans="1:14" ht="13.8">
      <c r="A400" t="s">
        <v>576</v>
      </c>
      <c r="B400" s="21">
        <v>45958</v>
      </c>
      <c r="C400" t="s">
        <v>15</v>
      </c>
      <c r="D400" t="s">
        <v>68</v>
      </c>
      <c r="E400" t="s">
        <v>469</v>
      </c>
      <c r="F400" t="s">
        <v>74</v>
      </c>
      <c r="G400" t="s">
        <v>33</v>
      </c>
      <c r="H400" t="s">
        <v>41</v>
      </c>
      <c r="I400">
        <v>9</v>
      </c>
      <c r="J400">
        <v>82.76</v>
      </c>
      <c r="K400">
        <v>0.05</v>
      </c>
      <c r="L400">
        <v>707.6</v>
      </c>
      <c r="M400">
        <v>514.07000000000005</v>
      </c>
      <c r="N400">
        <v>781.18</v>
      </c>
    </row>
    <row r="401" spans="1:14" ht="13.8">
      <c r="A401" t="s">
        <v>577</v>
      </c>
      <c r="B401" s="21">
        <v>45978</v>
      </c>
      <c r="C401" t="s">
        <v>67</v>
      </c>
      <c r="D401" t="s">
        <v>82</v>
      </c>
      <c r="E401" t="s">
        <v>168</v>
      </c>
      <c r="F401" t="s">
        <v>74</v>
      </c>
      <c r="G401" t="s">
        <v>45</v>
      </c>
      <c r="H401" t="s">
        <v>44</v>
      </c>
      <c r="I401">
        <v>13</v>
      </c>
      <c r="J401">
        <v>271.48</v>
      </c>
      <c r="K401">
        <v>0.05</v>
      </c>
      <c r="L401">
        <v>3352.78</v>
      </c>
      <c r="M401">
        <v>2311.3200000000002</v>
      </c>
      <c r="N401">
        <v>3020.53</v>
      </c>
    </row>
    <row r="402" spans="1:14" ht="13.8">
      <c r="A402" t="s">
        <v>578</v>
      </c>
      <c r="B402" s="21">
        <v>45814</v>
      </c>
      <c r="C402" t="s">
        <v>22</v>
      </c>
      <c r="D402" t="s">
        <v>68</v>
      </c>
      <c r="E402" t="s">
        <v>226</v>
      </c>
      <c r="F402" t="s">
        <v>32</v>
      </c>
      <c r="G402" t="s">
        <v>19</v>
      </c>
      <c r="H402" t="s">
        <v>20</v>
      </c>
      <c r="I402">
        <v>5</v>
      </c>
      <c r="J402">
        <v>849.07</v>
      </c>
      <c r="K402">
        <v>0</v>
      </c>
      <c r="L402">
        <v>4245.3500000000004</v>
      </c>
      <c r="M402">
        <v>3435.41</v>
      </c>
      <c r="N402">
        <v>4630.7</v>
      </c>
    </row>
    <row r="403" spans="1:14" ht="13.8">
      <c r="A403" t="s">
        <v>579</v>
      </c>
      <c r="B403" s="21">
        <v>45892</v>
      </c>
      <c r="C403" t="s">
        <v>15</v>
      </c>
      <c r="D403" t="s">
        <v>30</v>
      </c>
      <c r="E403" t="s">
        <v>133</v>
      </c>
      <c r="F403" t="s">
        <v>18</v>
      </c>
      <c r="G403" t="s">
        <v>19</v>
      </c>
      <c r="H403" t="s">
        <v>38</v>
      </c>
      <c r="I403">
        <v>6</v>
      </c>
      <c r="J403">
        <v>954.31</v>
      </c>
      <c r="K403">
        <v>0</v>
      </c>
      <c r="L403">
        <v>5725.86</v>
      </c>
      <c r="M403">
        <v>3881.09</v>
      </c>
      <c r="N403">
        <v>6199.33</v>
      </c>
    </row>
    <row r="404" spans="1:14" ht="13.8">
      <c r="A404" t="s">
        <v>580</v>
      </c>
      <c r="B404" s="21">
        <v>45796</v>
      </c>
      <c r="C404" t="s">
        <v>15</v>
      </c>
      <c r="D404" t="s">
        <v>23</v>
      </c>
      <c r="E404" t="s">
        <v>352</v>
      </c>
      <c r="F404" t="s">
        <v>18</v>
      </c>
      <c r="G404" t="s">
        <v>19</v>
      </c>
      <c r="H404" t="s">
        <v>38</v>
      </c>
      <c r="I404">
        <v>12</v>
      </c>
      <c r="J404">
        <v>987.01</v>
      </c>
      <c r="K404">
        <v>0.05</v>
      </c>
      <c r="L404">
        <v>11251.91</v>
      </c>
      <c r="M404">
        <v>8387.4</v>
      </c>
      <c r="N404">
        <v>12081.31</v>
      </c>
    </row>
    <row r="405" spans="1:14" ht="13.8">
      <c r="A405" t="s">
        <v>581</v>
      </c>
      <c r="B405" s="21">
        <v>45850</v>
      </c>
      <c r="C405" t="s">
        <v>22</v>
      </c>
      <c r="D405" t="s">
        <v>30</v>
      </c>
      <c r="E405" t="s">
        <v>76</v>
      </c>
      <c r="F405" t="s">
        <v>32</v>
      </c>
      <c r="G405" t="s">
        <v>19</v>
      </c>
      <c r="H405" t="s">
        <v>38</v>
      </c>
      <c r="I405">
        <v>7</v>
      </c>
      <c r="J405">
        <v>928.29</v>
      </c>
      <c r="K405">
        <v>0.02</v>
      </c>
      <c r="L405">
        <v>6368.07</v>
      </c>
      <c r="M405">
        <v>4328.5200000000004</v>
      </c>
      <c r="N405">
        <v>5946.56</v>
      </c>
    </row>
    <row r="406" spans="1:14" ht="13.8">
      <c r="A406" t="s">
        <v>582</v>
      </c>
      <c r="B406" s="21">
        <v>45917</v>
      </c>
      <c r="C406" t="s">
        <v>29</v>
      </c>
      <c r="D406" t="s">
        <v>16</v>
      </c>
      <c r="E406" t="s">
        <v>254</v>
      </c>
      <c r="F406" t="s">
        <v>74</v>
      </c>
      <c r="G406" t="s">
        <v>45</v>
      </c>
      <c r="H406" t="s">
        <v>47</v>
      </c>
      <c r="I406">
        <v>10</v>
      </c>
      <c r="J406">
        <v>406.96</v>
      </c>
      <c r="K406">
        <v>0.02</v>
      </c>
      <c r="L406">
        <v>3988.21</v>
      </c>
      <c r="M406">
        <v>2735.94</v>
      </c>
      <c r="N406">
        <v>3518.3</v>
      </c>
    </row>
    <row r="407" spans="1:14" ht="13.8">
      <c r="A407" t="s">
        <v>583</v>
      </c>
      <c r="B407" s="21">
        <v>45947</v>
      </c>
      <c r="C407" t="s">
        <v>22</v>
      </c>
      <c r="D407" t="s">
        <v>23</v>
      </c>
      <c r="E407" t="s">
        <v>73</v>
      </c>
      <c r="F407" t="s">
        <v>32</v>
      </c>
      <c r="G407" t="s">
        <v>45</v>
      </c>
      <c r="H407" t="s">
        <v>47</v>
      </c>
      <c r="I407">
        <v>11</v>
      </c>
      <c r="J407">
        <v>409.53</v>
      </c>
      <c r="K407">
        <v>0.03</v>
      </c>
      <c r="L407">
        <v>4369.6899999999996</v>
      </c>
      <c r="M407">
        <v>3271.91</v>
      </c>
      <c r="N407">
        <v>4877.82</v>
      </c>
    </row>
    <row r="408" spans="1:14" ht="13.8">
      <c r="A408" t="s">
        <v>584</v>
      </c>
      <c r="B408" s="21">
        <v>45999</v>
      </c>
      <c r="C408" t="s">
        <v>67</v>
      </c>
      <c r="D408" t="s">
        <v>30</v>
      </c>
      <c r="E408" t="s">
        <v>469</v>
      </c>
      <c r="F408" t="s">
        <v>74</v>
      </c>
      <c r="G408" t="s">
        <v>33</v>
      </c>
      <c r="H408" t="s">
        <v>34</v>
      </c>
      <c r="I408">
        <v>2</v>
      </c>
      <c r="J408">
        <v>35.049999999999997</v>
      </c>
      <c r="K408">
        <v>0.03</v>
      </c>
      <c r="L408">
        <v>68</v>
      </c>
      <c r="M408">
        <v>47.44</v>
      </c>
      <c r="N408">
        <v>75.47</v>
      </c>
    </row>
    <row r="409" spans="1:14" ht="13.8">
      <c r="A409" t="s">
        <v>585</v>
      </c>
      <c r="B409" s="21">
        <v>45925</v>
      </c>
      <c r="C409" t="s">
        <v>15</v>
      </c>
      <c r="D409" t="s">
        <v>16</v>
      </c>
      <c r="E409" t="s">
        <v>283</v>
      </c>
      <c r="F409" t="s">
        <v>18</v>
      </c>
      <c r="G409" t="s">
        <v>45</v>
      </c>
      <c r="H409" t="s">
        <v>47</v>
      </c>
      <c r="I409">
        <v>11</v>
      </c>
      <c r="J409">
        <v>401.51</v>
      </c>
      <c r="K409">
        <v>0.1</v>
      </c>
      <c r="L409">
        <v>3974.95</v>
      </c>
      <c r="M409">
        <v>2820.57</v>
      </c>
      <c r="N409">
        <v>3844.94</v>
      </c>
    </row>
    <row r="410" spans="1:14" ht="13.8">
      <c r="A410" t="s">
        <v>586</v>
      </c>
      <c r="B410" s="21">
        <v>45943</v>
      </c>
      <c r="C410" t="s">
        <v>22</v>
      </c>
      <c r="D410" t="s">
        <v>16</v>
      </c>
      <c r="E410" t="s">
        <v>120</v>
      </c>
      <c r="F410" t="s">
        <v>74</v>
      </c>
      <c r="G410" t="s">
        <v>33</v>
      </c>
      <c r="H410" t="s">
        <v>34</v>
      </c>
      <c r="I410">
        <v>8</v>
      </c>
      <c r="J410">
        <v>34.340000000000003</v>
      </c>
      <c r="K410">
        <v>0.08</v>
      </c>
      <c r="L410">
        <v>252.74</v>
      </c>
      <c r="M410">
        <v>201.19</v>
      </c>
      <c r="N410">
        <v>266.62</v>
      </c>
    </row>
    <row r="411" spans="1:14" ht="13.8">
      <c r="A411" t="s">
        <v>587</v>
      </c>
      <c r="B411" s="21">
        <v>45728</v>
      </c>
      <c r="C411" t="s">
        <v>15</v>
      </c>
      <c r="D411" t="s">
        <v>68</v>
      </c>
      <c r="E411" t="s">
        <v>192</v>
      </c>
      <c r="F411" t="s">
        <v>32</v>
      </c>
      <c r="G411" t="s">
        <v>19</v>
      </c>
      <c r="H411" t="s">
        <v>20</v>
      </c>
      <c r="I411">
        <v>15</v>
      </c>
      <c r="J411">
        <v>883.27</v>
      </c>
      <c r="K411">
        <v>0.02</v>
      </c>
      <c r="L411">
        <v>12984.07</v>
      </c>
      <c r="M411">
        <v>8326.49</v>
      </c>
      <c r="N411">
        <v>14286.63</v>
      </c>
    </row>
    <row r="412" spans="1:14" ht="13.8">
      <c r="A412" t="s">
        <v>588</v>
      </c>
      <c r="B412" s="21">
        <v>45979</v>
      </c>
      <c r="C412" t="s">
        <v>22</v>
      </c>
      <c r="D412" t="s">
        <v>82</v>
      </c>
      <c r="E412" t="s">
        <v>91</v>
      </c>
      <c r="F412" t="s">
        <v>74</v>
      </c>
      <c r="G412" t="s">
        <v>45</v>
      </c>
      <c r="H412" t="s">
        <v>47</v>
      </c>
      <c r="I412">
        <v>4</v>
      </c>
      <c r="J412">
        <v>411.23</v>
      </c>
      <c r="K412">
        <v>0.08</v>
      </c>
      <c r="L412">
        <v>1513.33</v>
      </c>
      <c r="M412">
        <v>916.59</v>
      </c>
      <c r="N412">
        <v>1530.84</v>
      </c>
    </row>
    <row r="413" spans="1:14" ht="13.8">
      <c r="A413" t="s">
        <v>589</v>
      </c>
      <c r="B413" s="21">
        <v>45910</v>
      </c>
      <c r="C413" t="s">
        <v>22</v>
      </c>
      <c r="D413" t="s">
        <v>16</v>
      </c>
      <c r="E413" t="s">
        <v>108</v>
      </c>
      <c r="F413" t="s">
        <v>32</v>
      </c>
      <c r="G413" t="s">
        <v>45</v>
      </c>
      <c r="H413" t="s">
        <v>46</v>
      </c>
      <c r="I413">
        <v>6</v>
      </c>
      <c r="J413">
        <v>346.49</v>
      </c>
      <c r="K413">
        <v>0.03</v>
      </c>
      <c r="L413">
        <v>2016.57</v>
      </c>
      <c r="M413">
        <v>1353.77</v>
      </c>
      <c r="N413">
        <v>2177.98</v>
      </c>
    </row>
    <row r="414" spans="1:14" ht="13.8">
      <c r="A414" t="s">
        <v>590</v>
      </c>
      <c r="B414" s="21">
        <v>45729</v>
      </c>
      <c r="C414" t="s">
        <v>29</v>
      </c>
      <c r="D414" t="s">
        <v>82</v>
      </c>
      <c r="E414" t="s">
        <v>148</v>
      </c>
      <c r="F414" t="s">
        <v>18</v>
      </c>
      <c r="G414" t="s">
        <v>26</v>
      </c>
      <c r="H414" t="s">
        <v>39</v>
      </c>
      <c r="I414">
        <v>9</v>
      </c>
      <c r="J414">
        <v>226.76</v>
      </c>
      <c r="K414">
        <v>0</v>
      </c>
      <c r="L414">
        <v>2040.84</v>
      </c>
      <c r="M414">
        <v>1297.31</v>
      </c>
      <c r="N414">
        <v>2157.58</v>
      </c>
    </row>
    <row r="415" spans="1:14" ht="13.8">
      <c r="A415" t="s">
        <v>591</v>
      </c>
      <c r="B415" s="21">
        <v>45958</v>
      </c>
      <c r="C415" t="s">
        <v>67</v>
      </c>
      <c r="D415" t="s">
        <v>68</v>
      </c>
      <c r="E415" t="s">
        <v>207</v>
      </c>
      <c r="F415" t="s">
        <v>32</v>
      </c>
      <c r="G415" t="s">
        <v>26</v>
      </c>
      <c r="H415" t="s">
        <v>27</v>
      </c>
      <c r="I415">
        <v>7</v>
      </c>
      <c r="J415">
        <v>328.87</v>
      </c>
      <c r="K415">
        <v>0.03</v>
      </c>
      <c r="L415">
        <v>2233.0300000000002</v>
      </c>
      <c r="M415">
        <v>1812.48</v>
      </c>
      <c r="N415">
        <v>2065.36</v>
      </c>
    </row>
    <row r="416" spans="1:14" ht="13.8">
      <c r="A416" t="s">
        <v>592</v>
      </c>
      <c r="B416" s="21">
        <v>45882</v>
      </c>
      <c r="C416" t="s">
        <v>22</v>
      </c>
      <c r="D416" t="s">
        <v>30</v>
      </c>
      <c r="E416" t="s">
        <v>100</v>
      </c>
      <c r="F416" t="s">
        <v>25</v>
      </c>
      <c r="G416" t="s">
        <v>33</v>
      </c>
      <c r="H416" t="s">
        <v>34</v>
      </c>
      <c r="I416">
        <v>2</v>
      </c>
      <c r="J416">
        <v>35.64</v>
      </c>
      <c r="K416">
        <v>0.03</v>
      </c>
      <c r="L416">
        <v>69.14</v>
      </c>
      <c r="M416">
        <v>47.48</v>
      </c>
      <c r="N416">
        <v>67.239999999999995</v>
      </c>
    </row>
    <row r="417" spans="1:14" ht="13.8">
      <c r="A417" t="s">
        <v>593</v>
      </c>
      <c r="B417" s="21">
        <v>45976</v>
      </c>
      <c r="C417" t="s">
        <v>15</v>
      </c>
      <c r="D417" t="s">
        <v>23</v>
      </c>
      <c r="E417" t="s">
        <v>305</v>
      </c>
      <c r="F417" t="s">
        <v>74</v>
      </c>
      <c r="G417" t="s">
        <v>33</v>
      </c>
      <c r="H417" t="s">
        <v>41</v>
      </c>
      <c r="I417">
        <v>9</v>
      </c>
      <c r="J417">
        <v>87.87</v>
      </c>
      <c r="K417">
        <v>0.1</v>
      </c>
      <c r="L417">
        <v>711.75</v>
      </c>
      <c r="M417">
        <v>452.08</v>
      </c>
      <c r="N417">
        <v>778.79</v>
      </c>
    </row>
    <row r="418" spans="1:14" ht="13.8">
      <c r="A418" t="s">
        <v>594</v>
      </c>
      <c r="B418" s="21">
        <v>45996</v>
      </c>
      <c r="C418" t="s">
        <v>22</v>
      </c>
      <c r="D418" t="s">
        <v>64</v>
      </c>
      <c r="E418" t="s">
        <v>184</v>
      </c>
      <c r="F418" t="s">
        <v>32</v>
      </c>
      <c r="G418" t="s">
        <v>33</v>
      </c>
      <c r="H418" t="s">
        <v>42</v>
      </c>
      <c r="I418">
        <v>14</v>
      </c>
      <c r="J418">
        <v>61.02</v>
      </c>
      <c r="K418">
        <v>0</v>
      </c>
      <c r="L418">
        <v>854.28</v>
      </c>
      <c r="M418">
        <v>564.33000000000004</v>
      </c>
      <c r="N418">
        <v>826.14</v>
      </c>
    </row>
    <row r="419" spans="1:14" ht="13.8">
      <c r="A419" t="s">
        <v>595</v>
      </c>
      <c r="B419" s="21">
        <v>45980</v>
      </c>
      <c r="C419" t="s">
        <v>67</v>
      </c>
      <c r="D419" t="s">
        <v>30</v>
      </c>
      <c r="E419" t="s">
        <v>467</v>
      </c>
      <c r="F419" t="s">
        <v>32</v>
      </c>
      <c r="G419" t="s">
        <v>19</v>
      </c>
      <c r="H419" t="s">
        <v>37</v>
      </c>
      <c r="I419">
        <v>5</v>
      </c>
      <c r="J419">
        <v>1094.46</v>
      </c>
      <c r="K419">
        <v>0</v>
      </c>
      <c r="L419">
        <v>5472.3</v>
      </c>
      <c r="M419">
        <v>3333.14</v>
      </c>
      <c r="N419">
        <v>5901.3</v>
      </c>
    </row>
    <row r="420" spans="1:14" ht="13.8">
      <c r="A420" t="s">
        <v>596</v>
      </c>
      <c r="B420" s="21">
        <v>45793</v>
      </c>
      <c r="C420" t="s">
        <v>22</v>
      </c>
      <c r="D420" t="s">
        <v>82</v>
      </c>
      <c r="E420" t="s">
        <v>100</v>
      </c>
      <c r="F420" t="s">
        <v>32</v>
      </c>
      <c r="G420" t="s">
        <v>26</v>
      </c>
      <c r="H420" t="s">
        <v>39</v>
      </c>
      <c r="I420">
        <v>15</v>
      </c>
      <c r="J420">
        <v>210.54</v>
      </c>
      <c r="K420">
        <v>0.08</v>
      </c>
      <c r="L420">
        <v>2905.45</v>
      </c>
      <c r="M420">
        <v>1804.89</v>
      </c>
      <c r="N420">
        <v>2977.11</v>
      </c>
    </row>
    <row r="421" spans="1:14" ht="13.8">
      <c r="A421" t="s">
        <v>597</v>
      </c>
      <c r="B421" s="21">
        <v>45742</v>
      </c>
      <c r="C421" t="s">
        <v>22</v>
      </c>
      <c r="D421" t="s">
        <v>68</v>
      </c>
      <c r="E421" t="s">
        <v>150</v>
      </c>
      <c r="F421" t="s">
        <v>32</v>
      </c>
      <c r="G421" t="s">
        <v>45</v>
      </c>
      <c r="H421" t="s">
        <v>44</v>
      </c>
      <c r="I421">
        <v>3</v>
      </c>
      <c r="J421">
        <v>272.14999999999998</v>
      </c>
      <c r="K421">
        <v>0.1</v>
      </c>
      <c r="L421">
        <v>734.8</v>
      </c>
      <c r="M421">
        <v>560.89</v>
      </c>
      <c r="N421">
        <v>667.4</v>
      </c>
    </row>
    <row r="422" spans="1:14" ht="13.8">
      <c r="A422" t="s">
        <v>598</v>
      </c>
      <c r="B422" s="21">
        <v>45862</v>
      </c>
      <c r="C422" t="s">
        <v>29</v>
      </c>
      <c r="D422" t="s">
        <v>64</v>
      </c>
      <c r="E422" t="s">
        <v>87</v>
      </c>
      <c r="F422" t="s">
        <v>74</v>
      </c>
      <c r="G422" t="s">
        <v>33</v>
      </c>
      <c r="H422" t="s">
        <v>34</v>
      </c>
      <c r="I422">
        <v>8</v>
      </c>
      <c r="J422">
        <v>36.07</v>
      </c>
      <c r="K422">
        <v>0.03</v>
      </c>
      <c r="L422">
        <v>279.89999999999998</v>
      </c>
      <c r="M422">
        <v>221.21</v>
      </c>
      <c r="N422">
        <v>294.14999999999998</v>
      </c>
    </row>
    <row r="423" spans="1:14" ht="13.8">
      <c r="A423" t="s">
        <v>599</v>
      </c>
      <c r="B423" s="21">
        <v>46000</v>
      </c>
      <c r="C423" t="s">
        <v>15</v>
      </c>
      <c r="D423" t="s">
        <v>64</v>
      </c>
      <c r="E423" t="s">
        <v>83</v>
      </c>
      <c r="F423" t="s">
        <v>25</v>
      </c>
      <c r="G423" t="s">
        <v>26</v>
      </c>
      <c r="H423" t="s">
        <v>27</v>
      </c>
      <c r="I423">
        <v>3</v>
      </c>
      <c r="J423">
        <v>310.82</v>
      </c>
      <c r="K423">
        <v>0.1</v>
      </c>
      <c r="L423">
        <v>839.21</v>
      </c>
      <c r="M423">
        <v>515.70000000000005</v>
      </c>
      <c r="N423">
        <v>821.73</v>
      </c>
    </row>
    <row r="424" spans="1:14" ht="13.8">
      <c r="A424" t="s">
        <v>600</v>
      </c>
      <c r="B424" s="21">
        <v>45953</v>
      </c>
      <c r="C424" t="s">
        <v>29</v>
      </c>
      <c r="D424" t="s">
        <v>23</v>
      </c>
      <c r="E424" t="s">
        <v>106</v>
      </c>
      <c r="F424" t="s">
        <v>25</v>
      </c>
      <c r="G424" t="s">
        <v>33</v>
      </c>
      <c r="H424" t="s">
        <v>34</v>
      </c>
      <c r="I424">
        <v>7</v>
      </c>
      <c r="J424">
        <v>34</v>
      </c>
      <c r="K424">
        <v>0.1</v>
      </c>
      <c r="L424">
        <v>214.2</v>
      </c>
      <c r="M424">
        <v>141.41999999999999</v>
      </c>
      <c r="N424">
        <v>231.93</v>
      </c>
    </row>
    <row r="425" spans="1:14" ht="13.8">
      <c r="A425" t="s">
        <v>601</v>
      </c>
      <c r="B425" s="21">
        <v>45914</v>
      </c>
      <c r="C425" t="s">
        <v>22</v>
      </c>
      <c r="D425" t="s">
        <v>30</v>
      </c>
      <c r="E425" t="s">
        <v>115</v>
      </c>
      <c r="F425" t="s">
        <v>74</v>
      </c>
      <c r="G425" t="s">
        <v>19</v>
      </c>
      <c r="H425" t="s">
        <v>37</v>
      </c>
      <c r="I425">
        <v>15</v>
      </c>
      <c r="J425">
        <v>1076.0899999999999</v>
      </c>
      <c r="K425">
        <v>0</v>
      </c>
      <c r="L425">
        <v>16141.35</v>
      </c>
      <c r="M425">
        <v>12323.31</v>
      </c>
      <c r="N425">
        <v>17384.8</v>
      </c>
    </row>
    <row r="426" spans="1:14" ht="13.8">
      <c r="A426" t="s">
        <v>602</v>
      </c>
      <c r="B426" s="21">
        <v>45971</v>
      </c>
      <c r="C426" t="s">
        <v>29</v>
      </c>
      <c r="D426" t="s">
        <v>23</v>
      </c>
      <c r="E426" t="s">
        <v>148</v>
      </c>
      <c r="F426" t="s">
        <v>18</v>
      </c>
      <c r="G426" t="s">
        <v>26</v>
      </c>
      <c r="H426" t="s">
        <v>27</v>
      </c>
      <c r="I426">
        <v>12</v>
      </c>
      <c r="J426">
        <v>306.14999999999998</v>
      </c>
      <c r="K426">
        <v>0.08</v>
      </c>
      <c r="L426">
        <v>3379.9</v>
      </c>
      <c r="M426">
        <v>2477.69</v>
      </c>
      <c r="N426">
        <v>3387.26</v>
      </c>
    </row>
    <row r="427" spans="1:14" ht="13.8">
      <c r="A427" t="s">
        <v>603</v>
      </c>
      <c r="B427" s="21">
        <v>45842</v>
      </c>
      <c r="C427" t="s">
        <v>15</v>
      </c>
      <c r="D427" t="s">
        <v>16</v>
      </c>
      <c r="E427" t="s">
        <v>150</v>
      </c>
      <c r="F427" t="s">
        <v>32</v>
      </c>
      <c r="G427" t="s">
        <v>45</v>
      </c>
      <c r="H427" t="s">
        <v>44</v>
      </c>
      <c r="I427">
        <v>10</v>
      </c>
      <c r="J427">
        <v>272.35000000000002</v>
      </c>
      <c r="K427">
        <v>0</v>
      </c>
      <c r="L427">
        <v>2723.5</v>
      </c>
      <c r="M427">
        <v>1849.63</v>
      </c>
      <c r="N427">
        <v>2853.86</v>
      </c>
    </row>
    <row r="428" spans="1:14" ht="13.8">
      <c r="A428" t="s">
        <v>604</v>
      </c>
      <c r="B428" s="21">
        <v>45769</v>
      </c>
      <c r="C428" t="s">
        <v>22</v>
      </c>
      <c r="D428" t="s">
        <v>64</v>
      </c>
      <c r="E428" t="s">
        <v>266</v>
      </c>
      <c r="F428" t="s">
        <v>18</v>
      </c>
      <c r="G428" t="s">
        <v>19</v>
      </c>
      <c r="H428" t="s">
        <v>20</v>
      </c>
      <c r="I428">
        <v>8</v>
      </c>
      <c r="J428">
        <v>860.99</v>
      </c>
      <c r="K428">
        <v>0.02</v>
      </c>
      <c r="L428">
        <v>6750.16</v>
      </c>
      <c r="M428">
        <v>4713.72</v>
      </c>
      <c r="N428">
        <v>6755.62</v>
      </c>
    </row>
    <row r="429" spans="1:14" ht="13.8">
      <c r="A429" t="s">
        <v>605</v>
      </c>
      <c r="B429" s="21">
        <v>45678</v>
      </c>
      <c r="C429" t="s">
        <v>67</v>
      </c>
      <c r="D429" t="s">
        <v>30</v>
      </c>
      <c r="E429" t="s">
        <v>164</v>
      </c>
      <c r="F429" t="s">
        <v>25</v>
      </c>
      <c r="G429" t="s">
        <v>33</v>
      </c>
      <c r="H429" t="s">
        <v>42</v>
      </c>
      <c r="I429">
        <v>14</v>
      </c>
      <c r="J429">
        <v>59.81</v>
      </c>
      <c r="K429">
        <v>0.05</v>
      </c>
      <c r="L429">
        <v>795.47</v>
      </c>
      <c r="M429">
        <v>516.57000000000005</v>
      </c>
      <c r="N429">
        <v>820.18</v>
      </c>
    </row>
    <row r="430" spans="1:14" ht="13.8">
      <c r="A430" t="s">
        <v>606</v>
      </c>
      <c r="B430" s="21">
        <v>45769</v>
      </c>
      <c r="C430" t="s">
        <v>15</v>
      </c>
      <c r="D430" t="s">
        <v>23</v>
      </c>
      <c r="E430" t="s">
        <v>447</v>
      </c>
      <c r="F430" t="s">
        <v>25</v>
      </c>
      <c r="G430" t="s">
        <v>33</v>
      </c>
      <c r="H430" t="s">
        <v>42</v>
      </c>
      <c r="I430">
        <v>13</v>
      </c>
      <c r="J430">
        <v>61.92</v>
      </c>
      <c r="K430">
        <v>0.03</v>
      </c>
      <c r="L430">
        <v>780.81</v>
      </c>
      <c r="M430">
        <v>612.67999999999995</v>
      </c>
      <c r="N430">
        <v>838.66</v>
      </c>
    </row>
    <row r="431" spans="1:14" ht="13.8">
      <c r="A431" t="s">
        <v>607</v>
      </c>
      <c r="B431" s="21">
        <v>45672</v>
      </c>
      <c r="C431" t="s">
        <v>15</v>
      </c>
      <c r="D431" t="s">
        <v>64</v>
      </c>
      <c r="E431" t="s">
        <v>100</v>
      </c>
      <c r="F431" t="s">
        <v>74</v>
      </c>
      <c r="G431" t="s">
        <v>45</v>
      </c>
      <c r="H431" t="s">
        <v>47</v>
      </c>
      <c r="I431">
        <v>9</v>
      </c>
      <c r="J431">
        <v>410.26</v>
      </c>
      <c r="K431">
        <v>0.03</v>
      </c>
      <c r="L431">
        <v>3581.57</v>
      </c>
      <c r="M431">
        <v>2198.63</v>
      </c>
      <c r="N431">
        <v>3693.32</v>
      </c>
    </row>
    <row r="432" spans="1:14" ht="13.8">
      <c r="A432" t="s">
        <v>608</v>
      </c>
      <c r="B432" s="21">
        <v>45857</v>
      </c>
      <c r="C432" t="s">
        <v>67</v>
      </c>
      <c r="D432" t="s">
        <v>64</v>
      </c>
      <c r="E432" t="s">
        <v>133</v>
      </c>
      <c r="F432" t="s">
        <v>32</v>
      </c>
      <c r="G432" t="s">
        <v>33</v>
      </c>
      <c r="H432" t="s">
        <v>42</v>
      </c>
      <c r="I432">
        <v>10</v>
      </c>
      <c r="J432">
        <v>59.45</v>
      </c>
      <c r="K432">
        <v>0.1</v>
      </c>
      <c r="L432">
        <v>535.04999999999995</v>
      </c>
      <c r="M432">
        <v>423.16</v>
      </c>
      <c r="N432">
        <v>598.70000000000005</v>
      </c>
    </row>
    <row r="433" spans="1:14" ht="13.8">
      <c r="A433" t="s">
        <v>609</v>
      </c>
      <c r="B433" s="21">
        <v>45694</v>
      </c>
      <c r="C433" t="s">
        <v>22</v>
      </c>
      <c r="D433" t="s">
        <v>23</v>
      </c>
      <c r="E433" t="s">
        <v>316</v>
      </c>
      <c r="F433" t="s">
        <v>25</v>
      </c>
      <c r="G433" t="s">
        <v>45</v>
      </c>
      <c r="H433" t="s">
        <v>44</v>
      </c>
      <c r="I433">
        <v>8</v>
      </c>
      <c r="J433">
        <v>261.97000000000003</v>
      </c>
      <c r="K433">
        <v>0.05</v>
      </c>
      <c r="L433">
        <v>1990.97</v>
      </c>
      <c r="M433">
        <v>1393.43</v>
      </c>
      <c r="N433">
        <v>2078.25</v>
      </c>
    </row>
    <row r="434" spans="1:14" ht="13.8">
      <c r="A434" t="s">
        <v>610</v>
      </c>
      <c r="B434" s="21">
        <v>45715</v>
      </c>
      <c r="C434" t="s">
        <v>15</v>
      </c>
      <c r="D434" t="s">
        <v>68</v>
      </c>
      <c r="E434" t="s">
        <v>447</v>
      </c>
      <c r="F434" t="s">
        <v>25</v>
      </c>
      <c r="G434" t="s">
        <v>33</v>
      </c>
      <c r="H434" t="s">
        <v>34</v>
      </c>
      <c r="I434">
        <v>3</v>
      </c>
      <c r="J434">
        <v>34.24</v>
      </c>
      <c r="K434">
        <v>0.02</v>
      </c>
      <c r="L434">
        <v>100.67</v>
      </c>
      <c r="M434">
        <v>62.1</v>
      </c>
      <c r="N434">
        <v>110.27</v>
      </c>
    </row>
    <row r="435" spans="1:14" ht="13.8">
      <c r="A435" t="s">
        <v>611</v>
      </c>
      <c r="B435" s="21">
        <v>46018</v>
      </c>
      <c r="C435" t="s">
        <v>67</v>
      </c>
      <c r="D435" t="s">
        <v>82</v>
      </c>
      <c r="E435" t="s">
        <v>250</v>
      </c>
      <c r="F435" t="s">
        <v>18</v>
      </c>
      <c r="G435" t="s">
        <v>45</v>
      </c>
      <c r="H435" t="s">
        <v>46</v>
      </c>
      <c r="I435">
        <v>4</v>
      </c>
      <c r="J435">
        <v>349.29</v>
      </c>
      <c r="K435">
        <v>0.02</v>
      </c>
      <c r="L435">
        <v>1369.22</v>
      </c>
      <c r="M435">
        <v>990.3</v>
      </c>
      <c r="N435">
        <v>1435.35</v>
      </c>
    </row>
    <row r="436" spans="1:14" ht="13.8">
      <c r="A436" t="s">
        <v>612</v>
      </c>
      <c r="B436" s="21">
        <v>45971</v>
      </c>
      <c r="C436" t="s">
        <v>67</v>
      </c>
      <c r="D436" t="s">
        <v>64</v>
      </c>
      <c r="E436" t="s">
        <v>215</v>
      </c>
      <c r="F436" t="s">
        <v>25</v>
      </c>
      <c r="G436" t="s">
        <v>45</v>
      </c>
      <c r="H436" t="s">
        <v>46</v>
      </c>
      <c r="I436">
        <v>1</v>
      </c>
      <c r="J436">
        <v>325.13</v>
      </c>
      <c r="K436">
        <v>0.02</v>
      </c>
      <c r="L436">
        <v>318.63</v>
      </c>
      <c r="M436">
        <v>220.47</v>
      </c>
      <c r="N436">
        <v>344.28</v>
      </c>
    </row>
    <row r="437" spans="1:14" ht="13.8">
      <c r="A437" t="s">
        <v>613</v>
      </c>
      <c r="B437" s="21">
        <v>45947</v>
      </c>
      <c r="C437" t="s">
        <v>67</v>
      </c>
      <c r="D437" t="s">
        <v>68</v>
      </c>
      <c r="E437" t="s">
        <v>94</v>
      </c>
      <c r="F437" t="s">
        <v>18</v>
      </c>
      <c r="G437" t="s">
        <v>45</v>
      </c>
      <c r="H437" t="s">
        <v>44</v>
      </c>
      <c r="I437">
        <v>6</v>
      </c>
      <c r="J437">
        <v>272.77999999999997</v>
      </c>
      <c r="K437">
        <v>0.03</v>
      </c>
      <c r="L437">
        <v>1587.58</v>
      </c>
      <c r="M437">
        <v>989.31</v>
      </c>
      <c r="N437">
        <v>1678.78</v>
      </c>
    </row>
    <row r="438" spans="1:14" ht="13.8">
      <c r="A438" t="s">
        <v>614</v>
      </c>
      <c r="B438" s="21">
        <v>45890</v>
      </c>
      <c r="C438" t="s">
        <v>22</v>
      </c>
      <c r="D438" t="s">
        <v>16</v>
      </c>
      <c r="E438" t="s">
        <v>111</v>
      </c>
      <c r="F438" t="s">
        <v>32</v>
      </c>
      <c r="G438" t="s">
        <v>45</v>
      </c>
      <c r="H438" t="s">
        <v>47</v>
      </c>
      <c r="I438">
        <v>2</v>
      </c>
      <c r="J438">
        <v>413.4</v>
      </c>
      <c r="K438">
        <v>0.02</v>
      </c>
      <c r="L438">
        <v>810.26</v>
      </c>
      <c r="M438">
        <v>551.02</v>
      </c>
      <c r="N438">
        <v>884.98</v>
      </c>
    </row>
    <row r="439" spans="1:14" ht="13.8">
      <c r="A439" t="s">
        <v>615</v>
      </c>
      <c r="B439" s="21">
        <v>45821</v>
      </c>
      <c r="C439" t="s">
        <v>67</v>
      </c>
      <c r="D439" t="s">
        <v>64</v>
      </c>
      <c r="E439" t="s">
        <v>85</v>
      </c>
      <c r="F439" t="s">
        <v>25</v>
      </c>
      <c r="G439" t="s">
        <v>33</v>
      </c>
      <c r="H439" t="s">
        <v>41</v>
      </c>
      <c r="I439">
        <v>15</v>
      </c>
      <c r="J439">
        <v>87.74</v>
      </c>
      <c r="K439">
        <v>0.02</v>
      </c>
      <c r="L439">
        <v>1289.78</v>
      </c>
      <c r="M439">
        <v>1015.05</v>
      </c>
      <c r="N439">
        <v>1298.54</v>
      </c>
    </row>
    <row r="440" spans="1:14" ht="13.8">
      <c r="A440" t="s">
        <v>616</v>
      </c>
      <c r="B440" s="21">
        <v>45839</v>
      </c>
      <c r="C440" t="s">
        <v>22</v>
      </c>
      <c r="D440" t="s">
        <v>82</v>
      </c>
      <c r="E440" t="s">
        <v>356</v>
      </c>
      <c r="F440" t="s">
        <v>74</v>
      </c>
      <c r="G440" t="s">
        <v>26</v>
      </c>
      <c r="H440" t="s">
        <v>27</v>
      </c>
      <c r="I440">
        <v>11</v>
      </c>
      <c r="J440">
        <v>304.68</v>
      </c>
      <c r="K440">
        <v>0.02</v>
      </c>
      <c r="L440">
        <v>3284.45</v>
      </c>
      <c r="M440">
        <v>2483.86</v>
      </c>
      <c r="N440">
        <v>3635.48</v>
      </c>
    </row>
    <row r="441" spans="1:14" ht="13.8">
      <c r="A441" t="s">
        <v>617</v>
      </c>
      <c r="B441" s="21">
        <v>45740</v>
      </c>
      <c r="C441" t="s">
        <v>22</v>
      </c>
      <c r="D441" t="s">
        <v>16</v>
      </c>
      <c r="E441" t="s">
        <v>24</v>
      </c>
      <c r="F441" t="s">
        <v>18</v>
      </c>
      <c r="G441" t="s">
        <v>45</v>
      </c>
      <c r="H441" t="s">
        <v>47</v>
      </c>
      <c r="I441">
        <v>15</v>
      </c>
      <c r="J441">
        <v>434.34</v>
      </c>
      <c r="K441">
        <v>0.02</v>
      </c>
      <c r="L441">
        <v>6384.8</v>
      </c>
      <c r="M441">
        <v>4025.17</v>
      </c>
      <c r="N441">
        <v>5788.91</v>
      </c>
    </row>
    <row r="442" spans="1:14" ht="13.8">
      <c r="A442" t="s">
        <v>618</v>
      </c>
      <c r="B442" s="21">
        <v>45895</v>
      </c>
      <c r="C442" t="s">
        <v>67</v>
      </c>
      <c r="D442" t="s">
        <v>30</v>
      </c>
      <c r="E442" t="s">
        <v>536</v>
      </c>
      <c r="F442" t="s">
        <v>74</v>
      </c>
      <c r="G442" t="s">
        <v>45</v>
      </c>
      <c r="H442" t="s">
        <v>47</v>
      </c>
      <c r="I442">
        <v>1</v>
      </c>
      <c r="J442">
        <v>407.57</v>
      </c>
      <c r="K442">
        <v>0.08</v>
      </c>
      <c r="L442">
        <v>374.96</v>
      </c>
      <c r="M442">
        <v>269.04000000000002</v>
      </c>
      <c r="N442">
        <v>336.35</v>
      </c>
    </row>
    <row r="443" spans="1:14" ht="13.8">
      <c r="A443" t="s">
        <v>619</v>
      </c>
      <c r="B443" s="21">
        <v>45906</v>
      </c>
      <c r="C443" t="s">
        <v>22</v>
      </c>
      <c r="D443" t="s">
        <v>16</v>
      </c>
      <c r="E443" t="s">
        <v>71</v>
      </c>
      <c r="F443" t="s">
        <v>25</v>
      </c>
      <c r="G443" t="s">
        <v>45</v>
      </c>
      <c r="H443" t="s">
        <v>47</v>
      </c>
      <c r="I443">
        <v>11</v>
      </c>
      <c r="J443">
        <v>436.97</v>
      </c>
      <c r="K443">
        <v>0</v>
      </c>
      <c r="L443">
        <v>4806.67</v>
      </c>
      <c r="M443">
        <v>3141.4</v>
      </c>
      <c r="N443">
        <v>5274.8</v>
      </c>
    </row>
    <row r="444" spans="1:14" ht="13.8">
      <c r="A444" t="s">
        <v>620</v>
      </c>
      <c r="B444" s="21">
        <v>45760</v>
      </c>
      <c r="C444" t="s">
        <v>15</v>
      </c>
      <c r="D444" t="s">
        <v>64</v>
      </c>
      <c r="E444" t="s">
        <v>356</v>
      </c>
      <c r="F444" t="s">
        <v>18</v>
      </c>
      <c r="G444" t="s">
        <v>33</v>
      </c>
      <c r="H444" t="s">
        <v>41</v>
      </c>
      <c r="I444">
        <v>8</v>
      </c>
      <c r="J444">
        <v>85.61</v>
      </c>
      <c r="K444">
        <v>0.1</v>
      </c>
      <c r="L444">
        <v>616.39</v>
      </c>
      <c r="M444">
        <v>462.77</v>
      </c>
      <c r="N444">
        <v>677.64</v>
      </c>
    </row>
    <row r="445" spans="1:14" ht="13.8">
      <c r="A445" t="s">
        <v>621</v>
      </c>
      <c r="B445" s="21">
        <v>45898</v>
      </c>
      <c r="C445" t="s">
        <v>22</v>
      </c>
      <c r="D445" t="s">
        <v>82</v>
      </c>
      <c r="E445" t="s">
        <v>283</v>
      </c>
      <c r="F445" t="s">
        <v>74</v>
      </c>
      <c r="G445" t="s">
        <v>19</v>
      </c>
      <c r="H445" t="s">
        <v>38</v>
      </c>
      <c r="I445">
        <v>7</v>
      </c>
      <c r="J445">
        <v>964.43</v>
      </c>
      <c r="K445">
        <v>0.1</v>
      </c>
      <c r="L445">
        <v>6075.91</v>
      </c>
      <c r="M445">
        <v>4968.78</v>
      </c>
      <c r="N445">
        <v>6392.09</v>
      </c>
    </row>
    <row r="446" spans="1:14" ht="13.8">
      <c r="A446" t="s">
        <v>622</v>
      </c>
      <c r="B446" s="21">
        <v>45968</v>
      </c>
      <c r="C446" t="s">
        <v>29</v>
      </c>
      <c r="D446" t="s">
        <v>16</v>
      </c>
      <c r="E446" t="s">
        <v>180</v>
      </c>
      <c r="F446" t="s">
        <v>25</v>
      </c>
      <c r="G446" t="s">
        <v>19</v>
      </c>
      <c r="H446" t="s">
        <v>38</v>
      </c>
      <c r="I446">
        <v>2</v>
      </c>
      <c r="J446">
        <v>988.86</v>
      </c>
      <c r="K446">
        <v>0.08</v>
      </c>
      <c r="L446">
        <v>1819.5</v>
      </c>
      <c r="M446">
        <v>1244.49</v>
      </c>
      <c r="N446">
        <v>1906.72</v>
      </c>
    </row>
    <row r="447" spans="1:14" ht="13.8">
      <c r="A447" t="s">
        <v>623</v>
      </c>
      <c r="B447" s="21">
        <v>45982</v>
      </c>
      <c r="C447" t="s">
        <v>15</v>
      </c>
      <c r="D447" t="s">
        <v>16</v>
      </c>
      <c r="E447" t="s">
        <v>172</v>
      </c>
      <c r="F447" t="s">
        <v>18</v>
      </c>
      <c r="G447" t="s">
        <v>45</v>
      </c>
      <c r="H447" t="s">
        <v>46</v>
      </c>
      <c r="I447">
        <v>12</v>
      </c>
      <c r="J447">
        <v>345.02</v>
      </c>
      <c r="K447">
        <v>0.02</v>
      </c>
      <c r="L447">
        <v>4057.44</v>
      </c>
      <c r="M447">
        <v>2518.19</v>
      </c>
      <c r="N447">
        <v>4521.1099999999997</v>
      </c>
    </row>
    <row r="448" spans="1:14" ht="13.8">
      <c r="A448" t="s">
        <v>624</v>
      </c>
      <c r="B448" s="21">
        <v>45863</v>
      </c>
      <c r="C448" t="s">
        <v>22</v>
      </c>
      <c r="D448" t="s">
        <v>30</v>
      </c>
      <c r="E448" t="s">
        <v>135</v>
      </c>
      <c r="F448" t="s">
        <v>25</v>
      </c>
      <c r="G448" t="s">
        <v>26</v>
      </c>
      <c r="H448" t="s">
        <v>39</v>
      </c>
      <c r="I448">
        <v>15</v>
      </c>
      <c r="J448">
        <v>230.11</v>
      </c>
      <c r="K448">
        <v>0.1</v>
      </c>
      <c r="L448">
        <v>3106.49</v>
      </c>
      <c r="M448">
        <v>1894.12</v>
      </c>
      <c r="N448">
        <v>3148.38</v>
      </c>
    </row>
    <row r="449" spans="1:14" ht="13.8">
      <c r="A449" t="s">
        <v>625</v>
      </c>
      <c r="B449" s="21">
        <v>45897</v>
      </c>
      <c r="C449" t="s">
        <v>15</v>
      </c>
      <c r="D449" t="s">
        <v>23</v>
      </c>
      <c r="E449" t="s">
        <v>69</v>
      </c>
      <c r="F449" t="s">
        <v>25</v>
      </c>
      <c r="G449" t="s">
        <v>19</v>
      </c>
      <c r="H449" t="s">
        <v>20</v>
      </c>
      <c r="I449">
        <v>8</v>
      </c>
      <c r="J449">
        <v>871.86</v>
      </c>
      <c r="K449">
        <v>0</v>
      </c>
      <c r="L449">
        <v>6974.88</v>
      </c>
      <c r="M449">
        <v>5350.38</v>
      </c>
      <c r="N449">
        <v>7614.89</v>
      </c>
    </row>
    <row r="450" spans="1:14" ht="13.8">
      <c r="A450" t="s">
        <v>626</v>
      </c>
      <c r="B450" s="21">
        <v>45973</v>
      </c>
      <c r="C450" t="s">
        <v>15</v>
      </c>
      <c r="D450" t="s">
        <v>64</v>
      </c>
      <c r="E450" t="s">
        <v>197</v>
      </c>
      <c r="F450" t="s">
        <v>18</v>
      </c>
      <c r="G450" t="s">
        <v>33</v>
      </c>
      <c r="H450" t="s">
        <v>42</v>
      </c>
      <c r="I450">
        <v>6</v>
      </c>
      <c r="J450">
        <v>57.63</v>
      </c>
      <c r="K450">
        <v>0.05</v>
      </c>
      <c r="L450">
        <v>328.49</v>
      </c>
      <c r="M450">
        <v>263.32</v>
      </c>
      <c r="N450">
        <v>289.25</v>
      </c>
    </row>
    <row r="451" spans="1:14" ht="13.8">
      <c r="A451" t="s">
        <v>627</v>
      </c>
      <c r="B451" s="21">
        <v>45915</v>
      </c>
      <c r="C451" t="s">
        <v>67</v>
      </c>
      <c r="D451" t="s">
        <v>68</v>
      </c>
      <c r="E451" t="s">
        <v>180</v>
      </c>
      <c r="F451" t="s">
        <v>18</v>
      </c>
      <c r="G451" t="s">
        <v>33</v>
      </c>
      <c r="H451" t="s">
        <v>42</v>
      </c>
      <c r="I451">
        <v>10</v>
      </c>
      <c r="J451">
        <v>60.68</v>
      </c>
      <c r="K451">
        <v>0.08</v>
      </c>
      <c r="L451">
        <v>558.26</v>
      </c>
      <c r="M451">
        <v>344.49</v>
      </c>
      <c r="N451">
        <v>498.54</v>
      </c>
    </row>
    <row r="452" spans="1:14" ht="13.8">
      <c r="A452" t="s">
        <v>628</v>
      </c>
      <c r="B452" s="21">
        <v>45944</v>
      </c>
      <c r="C452" t="s">
        <v>15</v>
      </c>
      <c r="D452" t="s">
        <v>82</v>
      </c>
      <c r="E452" t="s">
        <v>166</v>
      </c>
      <c r="F452" t="s">
        <v>25</v>
      </c>
      <c r="G452" t="s">
        <v>45</v>
      </c>
      <c r="H452" t="s">
        <v>46</v>
      </c>
      <c r="I452">
        <v>4</v>
      </c>
      <c r="J452">
        <v>323.82</v>
      </c>
      <c r="K452">
        <v>0.08</v>
      </c>
      <c r="L452">
        <v>1191.6600000000001</v>
      </c>
      <c r="M452">
        <v>927.76</v>
      </c>
      <c r="N452">
        <v>1179.6400000000001</v>
      </c>
    </row>
    <row r="453" spans="1:14" ht="13.8">
      <c r="A453" t="s">
        <v>629</v>
      </c>
      <c r="B453" s="21">
        <v>46001</v>
      </c>
      <c r="C453" t="s">
        <v>15</v>
      </c>
      <c r="D453" t="s">
        <v>16</v>
      </c>
      <c r="E453" t="s">
        <v>303</v>
      </c>
      <c r="F453" t="s">
        <v>25</v>
      </c>
      <c r="G453" t="s">
        <v>33</v>
      </c>
      <c r="H453" t="s">
        <v>34</v>
      </c>
      <c r="I453">
        <v>2</v>
      </c>
      <c r="J453">
        <v>35.39</v>
      </c>
      <c r="K453">
        <v>0</v>
      </c>
      <c r="L453">
        <v>70.78</v>
      </c>
      <c r="M453">
        <v>50.97</v>
      </c>
      <c r="N453">
        <v>68.27</v>
      </c>
    </row>
    <row r="454" spans="1:14" ht="13.8">
      <c r="A454" t="s">
        <v>630</v>
      </c>
      <c r="B454" s="21">
        <v>45709</v>
      </c>
      <c r="C454" t="s">
        <v>67</v>
      </c>
      <c r="D454" t="s">
        <v>23</v>
      </c>
      <c r="E454" t="s">
        <v>17</v>
      </c>
      <c r="F454" t="s">
        <v>18</v>
      </c>
      <c r="G454" t="s">
        <v>19</v>
      </c>
      <c r="H454" t="s">
        <v>37</v>
      </c>
      <c r="I454">
        <v>6</v>
      </c>
      <c r="J454">
        <v>1075.1400000000001</v>
      </c>
      <c r="K454">
        <v>0.03</v>
      </c>
      <c r="L454">
        <v>6257.31</v>
      </c>
      <c r="M454">
        <v>4803.9399999999996</v>
      </c>
      <c r="N454">
        <v>5728.43</v>
      </c>
    </row>
    <row r="455" spans="1:14" ht="13.8">
      <c r="A455" t="s">
        <v>631</v>
      </c>
      <c r="B455" s="21">
        <v>45696</v>
      </c>
      <c r="C455" t="s">
        <v>22</v>
      </c>
      <c r="D455" t="s">
        <v>64</v>
      </c>
      <c r="E455" t="s">
        <v>195</v>
      </c>
      <c r="F455" t="s">
        <v>25</v>
      </c>
      <c r="G455" t="s">
        <v>19</v>
      </c>
      <c r="H455" t="s">
        <v>20</v>
      </c>
      <c r="I455">
        <v>2</v>
      </c>
      <c r="J455">
        <v>865.54</v>
      </c>
      <c r="K455">
        <v>0.08</v>
      </c>
      <c r="L455">
        <v>1592.59</v>
      </c>
      <c r="M455">
        <v>1030.49</v>
      </c>
      <c r="N455">
        <v>1548.78</v>
      </c>
    </row>
    <row r="456" spans="1:14" ht="13.8">
      <c r="A456" t="s">
        <v>632</v>
      </c>
      <c r="B456" s="21">
        <v>45698</v>
      </c>
      <c r="C456" t="s">
        <v>22</v>
      </c>
      <c r="D456" t="s">
        <v>16</v>
      </c>
      <c r="E456" t="s">
        <v>310</v>
      </c>
      <c r="F456" t="s">
        <v>32</v>
      </c>
      <c r="G456" t="s">
        <v>19</v>
      </c>
      <c r="H456" t="s">
        <v>20</v>
      </c>
      <c r="I456">
        <v>14</v>
      </c>
      <c r="J456">
        <v>812.51</v>
      </c>
      <c r="K456">
        <v>0.1</v>
      </c>
      <c r="L456">
        <v>10237.629999999999</v>
      </c>
      <c r="M456">
        <v>6211.55</v>
      </c>
      <c r="N456">
        <v>10682.02</v>
      </c>
    </row>
    <row r="457" spans="1:14" ht="13.8">
      <c r="A457" t="s">
        <v>633</v>
      </c>
      <c r="B457" s="21">
        <v>45884</v>
      </c>
      <c r="C457" t="s">
        <v>22</v>
      </c>
      <c r="D457" t="s">
        <v>16</v>
      </c>
      <c r="E457" t="s">
        <v>96</v>
      </c>
      <c r="F457" t="s">
        <v>74</v>
      </c>
      <c r="G457" t="s">
        <v>26</v>
      </c>
      <c r="H457" t="s">
        <v>27</v>
      </c>
      <c r="I457">
        <v>12</v>
      </c>
      <c r="J457">
        <v>308.29000000000002</v>
      </c>
      <c r="K457">
        <v>0.03</v>
      </c>
      <c r="L457">
        <v>3588.5</v>
      </c>
      <c r="M457">
        <v>2821.22</v>
      </c>
      <c r="N457">
        <v>3182.3</v>
      </c>
    </row>
    <row r="458" spans="1:14" ht="13.8">
      <c r="A458" t="s">
        <v>634</v>
      </c>
      <c r="B458" s="21">
        <v>45741</v>
      </c>
      <c r="C458" t="s">
        <v>67</v>
      </c>
      <c r="D458" t="s">
        <v>30</v>
      </c>
      <c r="E458" t="s">
        <v>380</v>
      </c>
      <c r="F458" t="s">
        <v>25</v>
      </c>
      <c r="G458" t="s">
        <v>45</v>
      </c>
      <c r="H458" t="s">
        <v>44</v>
      </c>
      <c r="I458">
        <v>11</v>
      </c>
      <c r="J458">
        <v>271.24</v>
      </c>
      <c r="K458">
        <v>0.08</v>
      </c>
      <c r="L458">
        <v>2744.95</v>
      </c>
      <c r="M458">
        <v>2152.3200000000002</v>
      </c>
      <c r="N458">
        <v>3070.57</v>
      </c>
    </row>
    <row r="459" spans="1:14" ht="13.8">
      <c r="A459" t="s">
        <v>635</v>
      </c>
      <c r="B459" s="21">
        <v>45664</v>
      </c>
      <c r="C459" t="s">
        <v>67</v>
      </c>
      <c r="D459" t="s">
        <v>16</v>
      </c>
      <c r="E459" t="s">
        <v>342</v>
      </c>
      <c r="F459" t="s">
        <v>25</v>
      </c>
      <c r="G459" t="s">
        <v>33</v>
      </c>
      <c r="H459" t="s">
        <v>34</v>
      </c>
      <c r="I459">
        <v>9</v>
      </c>
      <c r="J459">
        <v>33.32</v>
      </c>
      <c r="K459">
        <v>0.02</v>
      </c>
      <c r="L459">
        <v>293.88</v>
      </c>
      <c r="M459">
        <v>211.5</v>
      </c>
      <c r="N459">
        <v>283.77999999999997</v>
      </c>
    </row>
    <row r="460" spans="1:14" ht="13.8">
      <c r="A460" t="s">
        <v>636</v>
      </c>
      <c r="B460" s="21">
        <v>45833</v>
      </c>
      <c r="C460" t="s">
        <v>22</v>
      </c>
      <c r="D460" t="s">
        <v>82</v>
      </c>
      <c r="E460" t="s">
        <v>316</v>
      </c>
      <c r="F460" t="s">
        <v>32</v>
      </c>
      <c r="G460" t="s">
        <v>45</v>
      </c>
      <c r="H460" t="s">
        <v>47</v>
      </c>
      <c r="I460">
        <v>2</v>
      </c>
      <c r="J460">
        <v>421.34</v>
      </c>
      <c r="K460">
        <v>0</v>
      </c>
      <c r="L460">
        <v>842.68</v>
      </c>
      <c r="M460">
        <v>512.16999999999996</v>
      </c>
      <c r="N460">
        <v>913.75</v>
      </c>
    </row>
    <row r="461" spans="1:14" ht="13.8">
      <c r="A461" t="s">
        <v>637</v>
      </c>
      <c r="B461" s="21">
        <v>45690</v>
      </c>
      <c r="C461" t="s">
        <v>29</v>
      </c>
      <c r="D461" t="s">
        <v>68</v>
      </c>
      <c r="E461" t="s">
        <v>78</v>
      </c>
      <c r="F461" t="s">
        <v>18</v>
      </c>
      <c r="G461" t="s">
        <v>33</v>
      </c>
      <c r="H461" t="s">
        <v>42</v>
      </c>
      <c r="I461">
        <v>2</v>
      </c>
      <c r="J461">
        <v>62.79</v>
      </c>
      <c r="K461">
        <v>0.02</v>
      </c>
      <c r="L461">
        <v>123.07</v>
      </c>
      <c r="M461">
        <v>79.569999999999993</v>
      </c>
      <c r="N461">
        <v>109.88</v>
      </c>
    </row>
    <row r="462" spans="1:14" ht="13.8">
      <c r="A462" t="s">
        <v>638</v>
      </c>
      <c r="B462" s="21">
        <v>45989</v>
      </c>
      <c r="C462" t="s">
        <v>15</v>
      </c>
      <c r="D462" t="s">
        <v>23</v>
      </c>
      <c r="E462" t="s">
        <v>260</v>
      </c>
      <c r="F462" t="s">
        <v>74</v>
      </c>
      <c r="G462" t="s">
        <v>26</v>
      </c>
      <c r="H462" t="s">
        <v>39</v>
      </c>
      <c r="I462">
        <v>4</v>
      </c>
      <c r="J462">
        <v>215.32</v>
      </c>
      <c r="K462">
        <v>0</v>
      </c>
      <c r="L462">
        <v>861.28</v>
      </c>
      <c r="M462">
        <v>652.11</v>
      </c>
      <c r="N462">
        <v>847.1</v>
      </c>
    </row>
    <row r="463" spans="1:14" ht="13.8">
      <c r="A463" t="s">
        <v>639</v>
      </c>
      <c r="B463" s="21">
        <v>45972</v>
      </c>
      <c r="C463" t="s">
        <v>67</v>
      </c>
      <c r="D463" t="s">
        <v>30</v>
      </c>
      <c r="E463" t="s">
        <v>98</v>
      </c>
      <c r="F463" t="s">
        <v>18</v>
      </c>
      <c r="G463" t="s">
        <v>45</v>
      </c>
      <c r="H463" t="s">
        <v>44</v>
      </c>
      <c r="I463">
        <v>3</v>
      </c>
      <c r="J463">
        <v>264.95999999999998</v>
      </c>
      <c r="K463">
        <v>0.1</v>
      </c>
      <c r="L463">
        <v>715.39</v>
      </c>
      <c r="M463">
        <v>473.98</v>
      </c>
      <c r="N463">
        <v>696.66</v>
      </c>
    </row>
    <row r="464" spans="1:14" ht="13.8">
      <c r="A464" t="s">
        <v>640</v>
      </c>
      <c r="B464" s="21">
        <v>46011</v>
      </c>
      <c r="C464" t="s">
        <v>15</v>
      </c>
      <c r="D464" t="s">
        <v>64</v>
      </c>
      <c r="E464" t="s">
        <v>218</v>
      </c>
      <c r="F464" t="s">
        <v>74</v>
      </c>
      <c r="G464" t="s">
        <v>26</v>
      </c>
      <c r="H464" t="s">
        <v>39</v>
      </c>
      <c r="I464">
        <v>11</v>
      </c>
      <c r="J464">
        <v>214.71</v>
      </c>
      <c r="K464">
        <v>0.1</v>
      </c>
      <c r="L464">
        <v>2125.63</v>
      </c>
      <c r="M464">
        <v>1576.21</v>
      </c>
      <c r="N464">
        <v>2172.12</v>
      </c>
    </row>
    <row r="465" spans="1:14" ht="13.8">
      <c r="A465" t="s">
        <v>641</v>
      </c>
      <c r="B465" s="21">
        <v>45813</v>
      </c>
      <c r="C465" t="s">
        <v>29</v>
      </c>
      <c r="D465" t="s">
        <v>64</v>
      </c>
      <c r="E465" t="s">
        <v>100</v>
      </c>
      <c r="F465" t="s">
        <v>74</v>
      </c>
      <c r="G465" t="s">
        <v>19</v>
      </c>
      <c r="H465" t="s">
        <v>37</v>
      </c>
      <c r="I465">
        <v>2</v>
      </c>
      <c r="J465">
        <v>1125.26</v>
      </c>
      <c r="K465">
        <v>0.08</v>
      </c>
      <c r="L465">
        <v>2070.48</v>
      </c>
      <c r="M465">
        <v>1248.9100000000001</v>
      </c>
      <c r="N465">
        <v>2001.66</v>
      </c>
    </row>
    <row r="466" spans="1:14" ht="13.8">
      <c r="A466" t="s">
        <v>642</v>
      </c>
      <c r="B466" s="21">
        <v>45989</v>
      </c>
      <c r="C466" t="s">
        <v>67</v>
      </c>
      <c r="D466" t="s">
        <v>68</v>
      </c>
      <c r="E466" t="s">
        <v>226</v>
      </c>
      <c r="F466" t="s">
        <v>25</v>
      </c>
      <c r="G466" t="s">
        <v>33</v>
      </c>
      <c r="H466" t="s">
        <v>42</v>
      </c>
      <c r="I466">
        <v>12</v>
      </c>
      <c r="J466">
        <v>62.27</v>
      </c>
      <c r="K466">
        <v>0.05</v>
      </c>
      <c r="L466">
        <v>709.88</v>
      </c>
      <c r="M466">
        <v>453.71</v>
      </c>
      <c r="N466">
        <v>641.75</v>
      </c>
    </row>
    <row r="467" spans="1:14" ht="13.8">
      <c r="A467" t="s">
        <v>643</v>
      </c>
      <c r="B467" s="21">
        <v>45885</v>
      </c>
      <c r="C467" t="s">
        <v>15</v>
      </c>
      <c r="D467" t="s">
        <v>68</v>
      </c>
      <c r="E467" t="s">
        <v>102</v>
      </c>
      <c r="F467" t="s">
        <v>25</v>
      </c>
      <c r="G467" t="s">
        <v>45</v>
      </c>
      <c r="H467" t="s">
        <v>46</v>
      </c>
      <c r="I467">
        <v>15</v>
      </c>
      <c r="J467">
        <v>326.22000000000003</v>
      </c>
      <c r="K467">
        <v>0.05</v>
      </c>
      <c r="L467">
        <v>4648.6400000000003</v>
      </c>
      <c r="M467">
        <v>3139.3</v>
      </c>
      <c r="N467">
        <v>5019.3599999999997</v>
      </c>
    </row>
    <row r="468" spans="1:14" ht="13.8">
      <c r="A468" t="s">
        <v>644</v>
      </c>
      <c r="B468" s="21">
        <v>45712</v>
      </c>
      <c r="C468" t="s">
        <v>29</v>
      </c>
      <c r="D468" t="s">
        <v>16</v>
      </c>
      <c r="E468" t="s">
        <v>94</v>
      </c>
      <c r="F468" t="s">
        <v>18</v>
      </c>
      <c r="G468" t="s">
        <v>26</v>
      </c>
      <c r="H468" t="s">
        <v>39</v>
      </c>
      <c r="I468">
        <v>13</v>
      </c>
      <c r="J468">
        <v>216.72</v>
      </c>
      <c r="K468">
        <v>0.03</v>
      </c>
      <c r="L468">
        <v>2732.84</v>
      </c>
      <c r="M468">
        <v>1806.63</v>
      </c>
      <c r="N468">
        <v>2411.33</v>
      </c>
    </row>
    <row r="469" spans="1:14" ht="13.8">
      <c r="A469" t="s">
        <v>645</v>
      </c>
      <c r="B469" s="21">
        <v>45738</v>
      </c>
      <c r="C469" t="s">
        <v>29</v>
      </c>
      <c r="D469" t="s">
        <v>68</v>
      </c>
      <c r="E469" t="s">
        <v>71</v>
      </c>
      <c r="F469" t="s">
        <v>18</v>
      </c>
      <c r="G469" t="s">
        <v>45</v>
      </c>
      <c r="H469" t="s">
        <v>47</v>
      </c>
      <c r="I469">
        <v>11</v>
      </c>
      <c r="J469">
        <v>426.79</v>
      </c>
      <c r="K469">
        <v>0.03</v>
      </c>
      <c r="L469">
        <v>4553.8500000000004</v>
      </c>
      <c r="M469">
        <v>3394.75</v>
      </c>
      <c r="N469">
        <v>4204.78</v>
      </c>
    </row>
    <row r="470" spans="1:14" ht="13.8">
      <c r="A470" t="s">
        <v>646</v>
      </c>
      <c r="B470" s="21">
        <v>45854</v>
      </c>
      <c r="C470" t="s">
        <v>15</v>
      </c>
      <c r="D470" t="s">
        <v>30</v>
      </c>
      <c r="E470" t="s">
        <v>307</v>
      </c>
      <c r="F470" t="s">
        <v>25</v>
      </c>
      <c r="G470" t="s">
        <v>26</v>
      </c>
      <c r="H470" t="s">
        <v>27</v>
      </c>
      <c r="I470">
        <v>11</v>
      </c>
      <c r="J470">
        <v>306.85000000000002</v>
      </c>
      <c r="K470">
        <v>0.08</v>
      </c>
      <c r="L470">
        <v>3105.32</v>
      </c>
      <c r="M470">
        <v>2015.72</v>
      </c>
      <c r="N470">
        <v>2780.97</v>
      </c>
    </row>
    <row r="471" spans="1:14" ht="13.8">
      <c r="A471" t="s">
        <v>647</v>
      </c>
      <c r="B471" s="21">
        <v>45839</v>
      </c>
      <c r="C471" t="s">
        <v>67</v>
      </c>
      <c r="D471" t="s">
        <v>30</v>
      </c>
      <c r="E471" t="s">
        <v>430</v>
      </c>
      <c r="F471" t="s">
        <v>18</v>
      </c>
      <c r="G471" t="s">
        <v>26</v>
      </c>
      <c r="H471" t="s">
        <v>40</v>
      </c>
      <c r="I471">
        <v>9</v>
      </c>
      <c r="J471">
        <v>460.02</v>
      </c>
      <c r="K471">
        <v>0.02</v>
      </c>
      <c r="L471">
        <v>4057.38</v>
      </c>
      <c r="M471">
        <v>2764.14</v>
      </c>
      <c r="N471">
        <v>4288.34</v>
      </c>
    </row>
    <row r="472" spans="1:14" ht="13.8">
      <c r="A472" t="s">
        <v>648</v>
      </c>
      <c r="B472" s="21">
        <v>45785</v>
      </c>
      <c r="C472" t="s">
        <v>29</v>
      </c>
      <c r="D472" t="s">
        <v>23</v>
      </c>
      <c r="E472" t="s">
        <v>289</v>
      </c>
      <c r="F472" t="s">
        <v>74</v>
      </c>
      <c r="G472" t="s">
        <v>45</v>
      </c>
      <c r="H472" t="s">
        <v>47</v>
      </c>
      <c r="I472">
        <v>3</v>
      </c>
      <c r="J472">
        <v>410.98</v>
      </c>
      <c r="K472">
        <v>0.05</v>
      </c>
      <c r="L472">
        <v>1171.29</v>
      </c>
      <c r="M472">
        <v>943</v>
      </c>
      <c r="N472">
        <v>1039.19</v>
      </c>
    </row>
    <row r="473" spans="1:14" ht="13.8">
      <c r="A473" t="s">
        <v>649</v>
      </c>
      <c r="B473" s="21">
        <v>45845</v>
      </c>
      <c r="C473" t="s">
        <v>22</v>
      </c>
      <c r="D473" t="s">
        <v>30</v>
      </c>
      <c r="E473" t="s">
        <v>256</v>
      </c>
      <c r="F473" t="s">
        <v>32</v>
      </c>
      <c r="G473" t="s">
        <v>26</v>
      </c>
      <c r="H473" t="s">
        <v>39</v>
      </c>
      <c r="I473">
        <v>11</v>
      </c>
      <c r="J473">
        <v>228.64</v>
      </c>
      <c r="K473">
        <v>0.03</v>
      </c>
      <c r="L473">
        <v>2439.59</v>
      </c>
      <c r="M473">
        <v>1930.51</v>
      </c>
      <c r="N473">
        <v>2176.4499999999998</v>
      </c>
    </row>
    <row r="474" spans="1:14" ht="13.8">
      <c r="A474" t="s">
        <v>650</v>
      </c>
      <c r="B474" s="21">
        <v>45673</v>
      </c>
      <c r="C474" t="s">
        <v>15</v>
      </c>
      <c r="D474" t="s">
        <v>68</v>
      </c>
      <c r="E474" t="s">
        <v>330</v>
      </c>
      <c r="F474" t="s">
        <v>74</v>
      </c>
      <c r="G474" t="s">
        <v>33</v>
      </c>
      <c r="H474" t="s">
        <v>41</v>
      </c>
      <c r="I474">
        <v>8</v>
      </c>
      <c r="J474">
        <v>84.89</v>
      </c>
      <c r="K474">
        <v>0</v>
      </c>
      <c r="L474">
        <v>679.12</v>
      </c>
      <c r="M474">
        <v>476.19</v>
      </c>
      <c r="N474">
        <v>713.6</v>
      </c>
    </row>
    <row r="475" spans="1:14" ht="13.8">
      <c r="A475" t="s">
        <v>651</v>
      </c>
      <c r="B475" s="21">
        <v>45903</v>
      </c>
      <c r="C475" t="s">
        <v>67</v>
      </c>
      <c r="D475" t="s">
        <v>30</v>
      </c>
      <c r="E475" t="s">
        <v>213</v>
      </c>
      <c r="F475" t="s">
        <v>74</v>
      </c>
      <c r="G475" t="s">
        <v>19</v>
      </c>
      <c r="H475" t="s">
        <v>38</v>
      </c>
      <c r="I475">
        <v>15</v>
      </c>
      <c r="J475">
        <v>924.42</v>
      </c>
      <c r="K475">
        <v>0.05</v>
      </c>
      <c r="L475">
        <v>13172.98</v>
      </c>
      <c r="M475">
        <v>8079.74</v>
      </c>
      <c r="N475">
        <v>12195.41</v>
      </c>
    </row>
    <row r="476" spans="1:14" ht="13.8">
      <c r="A476" t="s">
        <v>652</v>
      </c>
      <c r="B476" s="21">
        <v>45780</v>
      </c>
      <c r="C476" t="s">
        <v>22</v>
      </c>
      <c r="D476" t="s">
        <v>16</v>
      </c>
      <c r="E476" t="s">
        <v>277</v>
      </c>
      <c r="F476" t="s">
        <v>74</v>
      </c>
      <c r="G476" t="s">
        <v>26</v>
      </c>
      <c r="H476" t="s">
        <v>40</v>
      </c>
      <c r="I476">
        <v>9</v>
      </c>
      <c r="J476">
        <v>430.08</v>
      </c>
      <c r="K476">
        <v>0.08</v>
      </c>
      <c r="L476">
        <v>3561.06</v>
      </c>
      <c r="M476">
        <v>2310.88</v>
      </c>
      <c r="N476">
        <v>3769.79</v>
      </c>
    </row>
    <row r="477" spans="1:14" ht="13.8">
      <c r="A477" t="s">
        <v>653</v>
      </c>
      <c r="B477" s="21">
        <v>45926</v>
      </c>
      <c r="C477" t="s">
        <v>15</v>
      </c>
      <c r="D477" t="s">
        <v>68</v>
      </c>
      <c r="E477" t="s">
        <v>228</v>
      </c>
      <c r="F477" t="s">
        <v>74</v>
      </c>
      <c r="G477" t="s">
        <v>19</v>
      </c>
      <c r="H477" t="s">
        <v>20</v>
      </c>
      <c r="I477">
        <v>4</v>
      </c>
      <c r="J477">
        <v>851.83</v>
      </c>
      <c r="K477">
        <v>0.08</v>
      </c>
      <c r="L477">
        <v>3134.73</v>
      </c>
      <c r="M477">
        <v>2477.15</v>
      </c>
      <c r="N477">
        <v>2918.35</v>
      </c>
    </row>
    <row r="478" spans="1:14" ht="13.8">
      <c r="A478" t="s">
        <v>654</v>
      </c>
      <c r="B478" s="21">
        <v>45893</v>
      </c>
      <c r="C478" t="s">
        <v>67</v>
      </c>
      <c r="D478" t="s">
        <v>82</v>
      </c>
      <c r="E478" t="s">
        <v>108</v>
      </c>
      <c r="F478" t="s">
        <v>32</v>
      </c>
      <c r="G478" t="s">
        <v>45</v>
      </c>
      <c r="H478" t="s">
        <v>47</v>
      </c>
      <c r="I478">
        <v>12</v>
      </c>
      <c r="J478">
        <v>404.53</v>
      </c>
      <c r="K478">
        <v>0.05</v>
      </c>
      <c r="L478">
        <v>4611.6400000000003</v>
      </c>
      <c r="M478">
        <v>3407.17</v>
      </c>
      <c r="N478">
        <v>4166.63</v>
      </c>
    </row>
    <row r="479" spans="1:14" ht="13.8">
      <c r="A479" t="s">
        <v>655</v>
      </c>
      <c r="B479" s="21">
        <v>45692</v>
      </c>
      <c r="C479" t="s">
        <v>15</v>
      </c>
      <c r="D479" t="s">
        <v>82</v>
      </c>
      <c r="E479" t="s">
        <v>656</v>
      </c>
      <c r="F479" t="s">
        <v>18</v>
      </c>
      <c r="G479" t="s">
        <v>19</v>
      </c>
      <c r="H479" t="s">
        <v>37</v>
      </c>
      <c r="I479">
        <v>12</v>
      </c>
      <c r="J479">
        <v>1153.26</v>
      </c>
      <c r="K479">
        <v>0.05</v>
      </c>
      <c r="L479">
        <v>13147.16</v>
      </c>
      <c r="M479">
        <v>8632.56</v>
      </c>
      <c r="N479">
        <v>13177.25</v>
      </c>
    </row>
    <row r="480" spans="1:14" ht="13.8">
      <c r="A480" t="s">
        <v>657</v>
      </c>
      <c r="B480" s="21">
        <v>45933</v>
      </c>
      <c r="C480" t="s">
        <v>29</v>
      </c>
      <c r="D480" t="s">
        <v>68</v>
      </c>
      <c r="E480" t="s">
        <v>380</v>
      </c>
      <c r="F480" t="s">
        <v>32</v>
      </c>
      <c r="G480" t="s">
        <v>45</v>
      </c>
      <c r="H480" t="s">
        <v>44</v>
      </c>
      <c r="I480">
        <v>4</v>
      </c>
      <c r="J480">
        <v>267.08999999999997</v>
      </c>
      <c r="K480">
        <v>0.1</v>
      </c>
      <c r="L480">
        <v>961.52</v>
      </c>
      <c r="M480">
        <v>704.88</v>
      </c>
      <c r="N480">
        <v>996.4</v>
      </c>
    </row>
    <row r="481" spans="1:14" ht="13.8">
      <c r="A481" t="s">
        <v>658</v>
      </c>
      <c r="B481" s="21">
        <v>45679</v>
      </c>
      <c r="C481" t="s">
        <v>22</v>
      </c>
      <c r="D481" t="s">
        <v>82</v>
      </c>
      <c r="E481" t="s">
        <v>91</v>
      </c>
      <c r="F481" t="s">
        <v>74</v>
      </c>
      <c r="G481" t="s">
        <v>26</v>
      </c>
      <c r="H481" t="s">
        <v>40</v>
      </c>
      <c r="I481">
        <v>11</v>
      </c>
      <c r="J481">
        <v>468.12</v>
      </c>
      <c r="K481">
        <v>0.02</v>
      </c>
      <c r="L481">
        <v>5046.33</v>
      </c>
      <c r="M481">
        <v>3804.67</v>
      </c>
      <c r="N481">
        <v>4459.7299999999996</v>
      </c>
    </row>
    <row r="482" spans="1:14" ht="13.8">
      <c r="A482" t="s">
        <v>659</v>
      </c>
      <c r="B482" s="21">
        <v>45769</v>
      </c>
      <c r="C482" t="s">
        <v>67</v>
      </c>
      <c r="D482" t="s">
        <v>64</v>
      </c>
      <c r="E482" t="s">
        <v>207</v>
      </c>
      <c r="F482" t="s">
        <v>18</v>
      </c>
      <c r="G482" t="s">
        <v>19</v>
      </c>
      <c r="H482" t="s">
        <v>20</v>
      </c>
      <c r="I482">
        <v>5</v>
      </c>
      <c r="J482">
        <v>844.82</v>
      </c>
      <c r="K482">
        <v>0.02</v>
      </c>
      <c r="L482">
        <v>4139.62</v>
      </c>
      <c r="M482">
        <v>3248.1</v>
      </c>
      <c r="N482">
        <v>3945.33</v>
      </c>
    </row>
    <row r="483" spans="1:14" ht="13.8">
      <c r="A483" t="s">
        <v>660</v>
      </c>
      <c r="B483" s="21">
        <v>45863</v>
      </c>
      <c r="C483" t="s">
        <v>22</v>
      </c>
      <c r="D483" t="s">
        <v>30</v>
      </c>
      <c r="E483" t="s">
        <v>336</v>
      </c>
      <c r="F483" t="s">
        <v>74</v>
      </c>
      <c r="G483" t="s">
        <v>19</v>
      </c>
      <c r="H483" t="s">
        <v>20</v>
      </c>
      <c r="I483">
        <v>11</v>
      </c>
      <c r="J483">
        <v>821.54</v>
      </c>
      <c r="K483">
        <v>0.03</v>
      </c>
      <c r="L483">
        <v>8765.83</v>
      </c>
      <c r="M483">
        <v>7088.46</v>
      </c>
      <c r="N483">
        <v>8204.33</v>
      </c>
    </row>
    <row r="484" spans="1:14" ht="13.8">
      <c r="A484" t="s">
        <v>661</v>
      </c>
      <c r="B484" s="21">
        <v>46002</v>
      </c>
      <c r="C484" t="s">
        <v>22</v>
      </c>
      <c r="D484" t="s">
        <v>30</v>
      </c>
      <c r="E484" t="s">
        <v>106</v>
      </c>
      <c r="F484" t="s">
        <v>32</v>
      </c>
      <c r="G484" t="s">
        <v>26</v>
      </c>
      <c r="H484" t="s">
        <v>39</v>
      </c>
      <c r="I484">
        <v>10</v>
      </c>
      <c r="J484">
        <v>228.93</v>
      </c>
      <c r="K484">
        <v>0.02</v>
      </c>
      <c r="L484">
        <v>2243.5100000000002</v>
      </c>
      <c r="M484">
        <v>1757.71</v>
      </c>
      <c r="N484">
        <v>2083</v>
      </c>
    </row>
    <row r="485" spans="1:14" ht="13.8">
      <c r="A485" t="s">
        <v>662</v>
      </c>
      <c r="B485" s="21">
        <v>45674</v>
      </c>
      <c r="C485" t="s">
        <v>29</v>
      </c>
      <c r="D485" t="s">
        <v>23</v>
      </c>
      <c r="E485" t="s">
        <v>221</v>
      </c>
      <c r="F485" t="s">
        <v>18</v>
      </c>
      <c r="G485" t="s">
        <v>33</v>
      </c>
      <c r="H485" t="s">
        <v>34</v>
      </c>
      <c r="I485">
        <v>3</v>
      </c>
      <c r="J485">
        <v>34.450000000000003</v>
      </c>
      <c r="K485">
        <v>0.1</v>
      </c>
      <c r="L485">
        <v>93.02</v>
      </c>
      <c r="M485">
        <v>70.319999999999993</v>
      </c>
      <c r="N485">
        <v>94.55</v>
      </c>
    </row>
    <row r="486" spans="1:14" ht="13.8">
      <c r="A486" t="s">
        <v>663</v>
      </c>
      <c r="B486" s="21">
        <v>45737</v>
      </c>
      <c r="C486" t="s">
        <v>22</v>
      </c>
      <c r="D486" t="s">
        <v>23</v>
      </c>
      <c r="E486" t="s">
        <v>228</v>
      </c>
      <c r="F486" t="s">
        <v>25</v>
      </c>
      <c r="G486" t="s">
        <v>33</v>
      </c>
      <c r="H486" t="s">
        <v>43</v>
      </c>
      <c r="I486">
        <v>13</v>
      </c>
      <c r="J486">
        <v>73.180000000000007</v>
      </c>
      <c r="K486">
        <v>0.05</v>
      </c>
      <c r="L486">
        <v>903.77</v>
      </c>
      <c r="M486">
        <v>636.72</v>
      </c>
      <c r="N486">
        <v>914.15</v>
      </c>
    </row>
    <row r="487" spans="1:14" ht="13.8">
      <c r="A487" t="s">
        <v>664</v>
      </c>
      <c r="B487" s="21">
        <v>45945</v>
      </c>
      <c r="C487" t="s">
        <v>29</v>
      </c>
      <c r="D487" t="s">
        <v>64</v>
      </c>
      <c r="E487" t="s">
        <v>120</v>
      </c>
      <c r="F487" t="s">
        <v>18</v>
      </c>
      <c r="G487" t="s">
        <v>19</v>
      </c>
      <c r="H487" t="s">
        <v>37</v>
      </c>
      <c r="I487">
        <v>5</v>
      </c>
      <c r="J487">
        <v>1150.6300000000001</v>
      </c>
      <c r="K487">
        <v>0.02</v>
      </c>
      <c r="L487">
        <v>5638.09</v>
      </c>
      <c r="M487">
        <v>4512.0600000000004</v>
      </c>
      <c r="N487">
        <v>6312.6</v>
      </c>
    </row>
    <row r="488" spans="1:14" ht="13.8">
      <c r="A488" t="s">
        <v>665</v>
      </c>
      <c r="B488" s="21">
        <v>45743</v>
      </c>
      <c r="C488" t="s">
        <v>67</v>
      </c>
      <c r="D488" t="s">
        <v>64</v>
      </c>
      <c r="E488" t="s">
        <v>469</v>
      </c>
      <c r="F488" t="s">
        <v>25</v>
      </c>
      <c r="G488" t="s">
        <v>26</v>
      </c>
      <c r="H488" t="s">
        <v>39</v>
      </c>
      <c r="I488">
        <v>7</v>
      </c>
      <c r="J488">
        <v>212.69</v>
      </c>
      <c r="K488">
        <v>0.08</v>
      </c>
      <c r="L488">
        <v>1369.72</v>
      </c>
      <c r="M488">
        <v>1068.75</v>
      </c>
      <c r="N488">
        <v>1465.06</v>
      </c>
    </row>
    <row r="489" spans="1:14" ht="13.8">
      <c r="A489" t="s">
        <v>666</v>
      </c>
      <c r="B489" s="21">
        <v>45735</v>
      </c>
      <c r="C489" t="s">
        <v>15</v>
      </c>
      <c r="D489" t="s">
        <v>16</v>
      </c>
      <c r="E489" t="s">
        <v>94</v>
      </c>
      <c r="F489" t="s">
        <v>32</v>
      </c>
      <c r="G489" t="s">
        <v>45</v>
      </c>
      <c r="H489" t="s">
        <v>46</v>
      </c>
      <c r="I489">
        <v>5</v>
      </c>
      <c r="J489">
        <v>355.9</v>
      </c>
      <c r="K489">
        <v>0.1</v>
      </c>
      <c r="L489">
        <v>1601.55</v>
      </c>
      <c r="M489">
        <v>1104.5999999999999</v>
      </c>
      <c r="N489">
        <v>1429.19</v>
      </c>
    </row>
    <row r="490" spans="1:14" ht="13.8">
      <c r="A490" t="s">
        <v>667</v>
      </c>
      <c r="B490" s="21">
        <v>45694</v>
      </c>
      <c r="C490" t="s">
        <v>67</v>
      </c>
      <c r="D490" t="s">
        <v>82</v>
      </c>
      <c r="E490" t="s">
        <v>166</v>
      </c>
      <c r="F490" t="s">
        <v>18</v>
      </c>
      <c r="G490" t="s">
        <v>26</v>
      </c>
      <c r="H490" t="s">
        <v>27</v>
      </c>
      <c r="I490">
        <v>13</v>
      </c>
      <c r="J490">
        <v>334.94</v>
      </c>
      <c r="K490">
        <v>0.02</v>
      </c>
      <c r="L490">
        <v>4267.1400000000003</v>
      </c>
      <c r="M490">
        <v>2954.65</v>
      </c>
      <c r="N490">
        <v>4297.2299999999996</v>
      </c>
    </row>
    <row r="491" spans="1:14" ht="13.8">
      <c r="A491" t="s">
        <v>668</v>
      </c>
      <c r="B491" s="21">
        <v>45886</v>
      </c>
      <c r="C491" t="s">
        <v>29</v>
      </c>
      <c r="D491" t="s">
        <v>68</v>
      </c>
      <c r="E491" t="s">
        <v>481</v>
      </c>
      <c r="F491" t="s">
        <v>32</v>
      </c>
      <c r="G491" t="s">
        <v>26</v>
      </c>
      <c r="H491" t="s">
        <v>39</v>
      </c>
      <c r="I491">
        <v>8</v>
      </c>
      <c r="J491">
        <v>223.48</v>
      </c>
      <c r="K491">
        <v>0.08</v>
      </c>
      <c r="L491">
        <v>1644.81</v>
      </c>
      <c r="M491">
        <v>1232.8800000000001</v>
      </c>
      <c r="N491">
        <v>1593.32</v>
      </c>
    </row>
    <row r="492" spans="1:14" ht="13.8">
      <c r="A492" t="s">
        <v>669</v>
      </c>
      <c r="B492" s="21">
        <v>45950</v>
      </c>
      <c r="C492" t="s">
        <v>67</v>
      </c>
      <c r="D492" t="s">
        <v>82</v>
      </c>
      <c r="E492" t="s">
        <v>221</v>
      </c>
      <c r="F492" t="s">
        <v>18</v>
      </c>
      <c r="G492" t="s">
        <v>33</v>
      </c>
      <c r="H492" t="s">
        <v>34</v>
      </c>
      <c r="I492">
        <v>3</v>
      </c>
      <c r="J492">
        <v>36.26</v>
      </c>
      <c r="K492">
        <v>0.03</v>
      </c>
      <c r="L492">
        <v>105.52</v>
      </c>
      <c r="M492">
        <v>78.25</v>
      </c>
      <c r="N492">
        <v>103.29</v>
      </c>
    </row>
    <row r="493" spans="1:14" ht="13.8">
      <c r="A493" t="s">
        <v>670</v>
      </c>
      <c r="B493" s="21">
        <v>46016</v>
      </c>
      <c r="C493" t="s">
        <v>15</v>
      </c>
      <c r="D493" t="s">
        <v>68</v>
      </c>
      <c r="E493" t="s">
        <v>656</v>
      </c>
      <c r="F493" t="s">
        <v>32</v>
      </c>
      <c r="G493" t="s">
        <v>45</v>
      </c>
      <c r="H493" t="s">
        <v>46</v>
      </c>
      <c r="I493">
        <v>1</v>
      </c>
      <c r="J493">
        <v>344.22</v>
      </c>
      <c r="K493">
        <v>0.05</v>
      </c>
      <c r="L493">
        <v>327.01</v>
      </c>
      <c r="M493">
        <v>211.48</v>
      </c>
      <c r="N493">
        <v>313.52</v>
      </c>
    </row>
    <row r="494" spans="1:14" ht="13.8">
      <c r="A494" t="s">
        <v>671</v>
      </c>
      <c r="B494" s="21">
        <v>46005</v>
      </c>
      <c r="C494" t="s">
        <v>29</v>
      </c>
      <c r="D494" t="s">
        <v>68</v>
      </c>
      <c r="E494" t="s">
        <v>672</v>
      </c>
      <c r="F494" t="s">
        <v>25</v>
      </c>
      <c r="G494" t="s">
        <v>45</v>
      </c>
      <c r="H494" t="s">
        <v>47</v>
      </c>
      <c r="I494">
        <v>12</v>
      </c>
      <c r="J494">
        <v>439.15</v>
      </c>
      <c r="K494">
        <v>0.02</v>
      </c>
      <c r="L494">
        <v>5164.3999999999996</v>
      </c>
      <c r="M494">
        <v>3627.53</v>
      </c>
      <c r="N494">
        <v>4946.58</v>
      </c>
    </row>
    <row r="495" spans="1:14" ht="13.8">
      <c r="A495" t="s">
        <v>673</v>
      </c>
      <c r="B495" s="21">
        <v>45935</v>
      </c>
      <c r="C495" t="s">
        <v>67</v>
      </c>
      <c r="D495" t="s">
        <v>68</v>
      </c>
      <c r="E495" t="s">
        <v>469</v>
      </c>
      <c r="F495" t="s">
        <v>74</v>
      </c>
      <c r="G495" t="s">
        <v>33</v>
      </c>
      <c r="H495" t="s">
        <v>34</v>
      </c>
      <c r="I495">
        <v>7</v>
      </c>
      <c r="J495">
        <v>36.619999999999997</v>
      </c>
      <c r="K495">
        <v>0.1</v>
      </c>
      <c r="L495">
        <v>230.71</v>
      </c>
      <c r="M495">
        <v>150.22999999999999</v>
      </c>
      <c r="N495">
        <v>243.74</v>
      </c>
    </row>
    <row r="496" spans="1:14" ht="13.8">
      <c r="A496" t="s">
        <v>674</v>
      </c>
      <c r="B496" s="21">
        <v>45844</v>
      </c>
      <c r="C496" t="s">
        <v>22</v>
      </c>
      <c r="D496" t="s">
        <v>64</v>
      </c>
      <c r="E496" t="s">
        <v>131</v>
      </c>
      <c r="F496" t="s">
        <v>18</v>
      </c>
      <c r="G496" t="s">
        <v>19</v>
      </c>
      <c r="H496" t="s">
        <v>38</v>
      </c>
      <c r="I496">
        <v>4</v>
      </c>
      <c r="J496">
        <v>963.28</v>
      </c>
      <c r="K496">
        <v>0.03</v>
      </c>
      <c r="L496">
        <v>3737.53</v>
      </c>
      <c r="M496">
        <v>2335.5100000000002</v>
      </c>
      <c r="N496">
        <v>3746.4</v>
      </c>
    </row>
    <row r="497" spans="1:14" ht="13.8">
      <c r="A497" t="s">
        <v>675</v>
      </c>
      <c r="B497" s="21">
        <v>45898</v>
      </c>
      <c r="C497" t="s">
        <v>22</v>
      </c>
      <c r="D497" t="s">
        <v>30</v>
      </c>
      <c r="E497" t="s">
        <v>192</v>
      </c>
      <c r="F497" t="s">
        <v>74</v>
      </c>
      <c r="G497" t="s">
        <v>33</v>
      </c>
      <c r="H497" t="s">
        <v>43</v>
      </c>
      <c r="I497">
        <v>8</v>
      </c>
      <c r="J497">
        <v>78.319999999999993</v>
      </c>
      <c r="K497">
        <v>0.08</v>
      </c>
      <c r="L497">
        <v>576.44000000000005</v>
      </c>
      <c r="M497">
        <v>414.72</v>
      </c>
      <c r="N497">
        <v>555.01</v>
      </c>
    </row>
    <row r="498" spans="1:14" ht="13.8">
      <c r="A498" t="s">
        <v>676</v>
      </c>
      <c r="B498" s="21">
        <v>46012</v>
      </c>
      <c r="C498" t="s">
        <v>67</v>
      </c>
      <c r="D498" t="s">
        <v>64</v>
      </c>
      <c r="E498" t="s">
        <v>197</v>
      </c>
      <c r="F498" t="s">
        <v>25</v>
      </c>
      <c r="G498" t="s">
        <v>19</v>
      </c>
      <c r="H498" t="s">
        <v>20</v>
      </c>
      <c r="I498">
        <v>11</v>
      </c>
      <c r="J498">
        <v>864.96</v>
      </c>
      <c r="K498">
        <v>0.02</v>
      </c>
      <c r="L498">
        <v>9324.27</v>
      </c>
      <c r="M498">
        <v>6402.85</v>
      </c>
      <c r="N498">
        <v>8467.5</v>
      </c>
    </row>
    <row r="499" spans="1:14" ht="13.8">
      <c r="A499" t="s">
        <v>677</v>
      </c>
      <c r="B499" s="21">
        <v>45982</v>
      </c>
      <c r="C499" t="s">
        <v>67</v>
      </c>
      <c r="D499" t="s">
        <v>23</v>
      </c>
      <c r="E499" t="s">
        <v>221</v>
      </c>
      <c r="F499" t="s">
        <v>18</v>
      </c>
      <c r="G499" t="s">
        <v>26</v>
      </c>
      <c r="H499" t="s">
        <v>39</v>
      </c>
      <c r="I499">
        <v>12</v>
      </c>
      <c r="J499">
        <v>222.03</v>
      </c>
      <c r="K499">
        <v>0.02</v>
      </c>
      <c r="L499">
        <v>2611.0700000000002</v>
      </c>
      <c r="M499">
        <v>1778.73</v>
      </c>
      <c r="N499">
        <v>2830.58</v>
      </c>
    </row>
    <row r="500" spans="1:14" ht="13.8">
      <c r="A500" t="s">
        <v>678</v>
      </c>
      <c r="B500" s="21">
        <v>45965</v>
      </c>
      <c r="C500" t="s">
        <v>22</v>
      </c>
      <c r="D500" t="s">
        <v>82</v>
      </c>
      <c r="E500" t="s">
        <v>266</v>
      </c>
      <c r="F500" t="s">
        <v>32</v>
      </c>
      <c r="G500" t="s">
        <v>33</v>
      </c>
      <c r="H500" t="s">
        <v>41</v>
      </c>
      <c r="I500">
        <v>14</v>
      </c>
      <c r="J500">
        <v>86.41</v>
      </c>
      <c r="K500">
        <v>0.08</v>
      </c>
      <c r="L500">
        <v>1112.96</v>
      </c>
      <c r="M500">
        <v>678.95</v>
      </c>
      <c r="N500">
        <v>1219.03</v>
      </c>
    </row>
    <row r="501" spans="1:14" ht="13.8">
      <c r="A501" t="s">
        <v>679</v>
      </c>
      <c r="B501" s="21">
        <v>45672</v>
      </c>
      <c r="C501" t="s">
        <v>29</v>
      </c>
      <c r="D501" t="s">
        <v>23</v>
      </c>
      <c r="E501" t="s">
        <v>192</v>
      </c>
      <c r="F501" t="s">
        <v>32</v>
      </c>
      <c r="G501" t="s">
        <v>19</v>
      </c>
      <c r="H501" t="s">
        <v>37</v>
      </c>
      <c r="I501">
        <v>13</v>
      </c>
      <c r="J501">
        <v>1045.52</v>
      </c>
      <c r="K501">
        <v>0.02</v>
      </c>
      <c r="L501">
        <v>13319.92</v>
      </c>
      <c r="M501">
        <v>8243.32</v>
      </c>
      <c r="N501">
        <v>12517.27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060F4-0A59-4510-A7B2-A21DF4BD102B}">
  <dimension ref="A1"/>
  <sheetViews>
    <sheetView workbookViewId="0">
      <selection activeCell="L19" sqref="L19:L20"/>
    </sheetView>
  </sheetViews>
  <sheetFormatPr defaultRowHeight="13.8"/>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94CF9-EA63-4DD0-B07B-0F4B8B2FA0A3}">
  <dimension ref="A1:B9"/>
  <sheetViews>
    <sheetView workbookViewId="0">
      <selection activeCell="B7" sqref="B7"/>
    </sheetView>
  </sheetViews>
  <sheetFormatPr defaultRowHeight="13.8"/>
  <cols>
    <col min="1" max="1" width="24.8984375" customWidth="1"/>
    <col min="2" max="2" width="18" customWidth="1"/>
  </cols>
  <sheetData>
    <row r="1" spans="1:2">
      <c r="A1" s="8" t="s">
        <v>52</v>
      </c>
      <c r="B1" s="9" t="s">
        <v>53</v>
      </c>
    </row>
    <row r="2" spans="1:2">
      <c r="A2" s="10" t="s">
        <v>54</v>
      </c>
      <c r="B2" s="11">
        <f>SUM(SalesData[Revenue])</f>
        <v>1568551.139999999</v>
      </c>
    </row>
    <row r="3" spans="1:2">
      <c r="A3" s="12" t="s">
        <v>55</v>
      </c>
      <c r="B3" s="13">
        <f>SUM(SalesData[Profit])</f>
        <v>459292.36999999994</v>
      </c>
    </row>
    <row r="4" spans="1:2">
      <c r="A4" s="10" t="s">
        <v>56</v>
      </c>
      <c r="B4" s="17">
        <f>IFERROR(B3/B2,0)</f>
        <v>0.29281313072138676</v>
      </c>
    </row>
    <row r="5" spans="1:2">
      <c r="A5" s="12" t="s">
        <v>57</v>
      </c>
      <c r="B5" s="18">
        <f>IFERROR(SUM(SalesData[Revenue])/SUM(SalesData[Target]),0)</f>
        <v>0.99833536426589786</v>
      </c>
    </row>
    <row r="6" spans="1:2">
      <c r="A6" s="10" t="s">
        <v>58</v>
      </c>
      <c r="B6" s="14">
        <f>SUM(SalesData[Units])</f>
        <v>4156</v>
      </c>
    </row>
    <row r="7" spans="1:2">
      <c r="A7" s="12" t="s">
        <v>59</v>
      </c>
      <c r="B7" s="15">
        <f>COUNTIF(SalesData[Target_Status],"Below Target")</f>
        <v>256</v>
      </c>
    </row>
    <row r="8" spans="1:2">
      <c r="A8" s="7"/>
      <c r="B8" s="16"/>
    </row>
    <row r="9" spans="1:2">
      <c r="A9" s="2"/>
      <c r="B9" s="6"/>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FA199-A86B-4052-A5A7-AB651BFFCDE0}">
  <dimension ref="A1:D14"/>
  <sheetViews>
    <sheetView workbookViewId="0">
      <selection activeCell="G6" sqref="G6"/>
    </sheetView>
  </sheetViews>
  <sheetFormatPr defaultRowHeight="14.4"/>
  <cols>
    <col min="1" max="1" width="9.5" customWidth="1"/>
    <col min="2" max="2" width="10.3984375" customWidth="1"/>
    <col min="3" max="3" width="15.59765625" customWidth="1"/>
    <col min="4" max="4" width="17.296875" customWidth="1"/>
  </cols>
  <sheetData>
    <row r="1" spans="1:4" ht="13.8">
      <c r="A1" s="1" t="s">
        <v>7</v>
      </c>
      <c r="B1" s="1" t="s">
        <v>6</v>
      </c>
      <c r="C1" s="4" t="s">
        <v>35</v>
      </c>
      <c r="D1" s="4" t="s">
        <v>36</v>
      </c>
    </row>
    <row r="2" spans="1:4" ht="27.6">
      <c r="A2" s="2" t="s">
        <v>20</v>
      </c>
      <c r="B2" s="2" t="s">
        <v>19</v>
      </c>
      <c r="C2" s="3">
        <v>850</v>
      </c>
      <c r="D2" s="3">
        <v>1.05</v>
      </c>
    </row>
    <row r="3" spans="1:4" ht="27.6">
      <c r="A3" s="2" t="s">
        <v>37</v>
      </c>
      <c r="B3" s="2" t="s">
        <v>19</v>
      </c>
      <c r="C3" s="3">
        <v>1100</v>
      </c>
      <c r="D3" s="3">
        <v>1.08</v>
      </c>
    </row>
    <row r="4" spans="1:4" ht="27.6">
      <c r="A4" s="2" t="s">
        <v>38</v>
      </c>
      <c r="B4" s="2" t="s">
        <v>19</v>
      </c>
      <c r="C4" s="3">
        <v>950</v>
      </c>
      <c r="D4" s="3">
        <v>1.06</v>
      </c>
    </row>
    <row r="5" spans="1:4" ht="27.6">
      <c r="A5" s="2" t="s">
        <v>39</v>
      </c>
      <c r="B5" s="2" t="s">
        <v>26</v>
      </c>
      <c r="C5" s="3">
        <v>220</v>
      </c>
      <c r="D5" s="3">
        <v>1.04</v>
      </c>
    </row>
    <row r="6" spans="1:4" ht="27.6">
      <c r="A6" s="2" t="s">
        <v>27</v>
      </c>
      <c r="B6" s="2" t="s">
        <v>26</v>
      </c>
      <c r="C6" s="3">
        <v>320</v>
      </c>
      <c r="D6" s="3">
        <v>1.05</v>
      </c>
    </row>
    <row r="7" spans="1:4" ht="27.6">
      <c r="A7" s="2" t="s">
        <v>40</v>
      </c>
      <c r="B7" s="2" t="s">
        <v>26</v>
      </c>
      <c r="C7" s="3">
        <v>450</v>
      </c>
      <c r="D7" s="3">
        <v>1.06</v>
      </c>
    </row>
    <row r="8" spans="1:4" ht="27.6">
      <c r="A8" s="2" t="s">
        <v>34</v>
      </c>
      <c r="B8" s="2" t="s">
        <v>33</v>
      </c>
      <c r="C8" s="3">
        <v>35</v>
      </c>
      <c r="D8" s="3">
        <v>1.03</v>
      </c>
    </row>
    <row r="9" spans="1:4" ht="55.2">
      <c r="A9" s="2" t="s">
        <v>41</v>
      </c>
      <c r="B9" s="2" t="s">
        <v>33</v>
      </c>
      <c r="C9" s="3">
        <v>85</v>
      </c>
      <c r="D9" s="3">
        <v>1.04</v>
      </c>
    </row>
    <row r="10" spans="1:4" ht="27.6">
      <c r="A10" s="2" t="s">
        <v>42</v>
      </c>
      <c r="B10" s="2" t="s">
        <v>33</v>
      </c>
      <c r="C10" s="3">
        <v>60</v>
      </c>
      <c r="D10" s="3">
        <v>1.03</v>
      </c>
    </row>
    <row r="11" spans="1:4" ht="27.6">
      <c r="A11" s="2" t="s">
        <v>43</v>
      </c>
      <c r="B11" s="2" t="s">
        <v>33</v>
      </c>
      <c r="C11" s="3">
        <v>75</v>
      </c>
      <c r="D11" s="3">
        <v>1.04</v>
      </c>
    </row>
    <row r="12" spans="1:4" ht="27.6">
      <c r="A12" s="2" t="s">
        <v>44</v>
      </c>
      <c r="B12" s="2" t="s">
        <v>45</v>
      </c>
      <c r="C12" s="3">
        <v>260</v>
      </c>
      <c r="D12" s="3">
        <v>1.05</v>
      </c>
    </row>
    <row r="13" spans="1:4" ht="27.6">
      <c r="A13" s="2" t="s">
        <v>46</v>
      </c>
      <c r="B13" s="2" t="s">
        <v>45</v>
      </c>
      <c r="C13" s="3">
        <v>340</v>
      </c>
      <c r="D13" s="3">
        <v>1.06</v>
      </c>
    </row>
    <row r="14" spans="1:4" ht="27.6">
      <c r="A14" s="2" t="s">
        <v>47</v>
      </c>
      <c r="B14" s="2" t="s">
        <v>45</v>
      </c>
      <c r="C14" s="3">
        <v>420</v>
      </c>
      <c r="D14" s="3">
        <v>1.07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CBB20-76E2-4100-BFB5-60D66BD342D4}">
  <dimension ref="A1:J48"/>
  <sheetViews>
    <sheetView showGridLines="0" tabSelected="1" zoomScale="80" zoomScaleNormal="80" workbookViewId="0">
      <selection activeCell="N8" sqref="N8"/>
    </sheetView>
  </sheetViews>
  <sheetFormatPr defaultRowHeight="13.8"/>
  <cols>
    <col min="1" max="1" width="17.59765625" customWidth="1"/>
    <col min="2" max="2" width="16.296875" customWidth="1"/>
    <col min="3" max="3" width="27.8984375" customWidth="1"/>
    <col min="4" max="4" width="22.3984375" customWidth="1"/>
  </cols>
  <sheetData>
    <row r="1" spans="1:10" ht="23.4">
      <c r="A1" s="32" t="s">
        <v>693</v>
      </c>
      <c r="B1" s="32"/>
      <c r="C1" s="32"/>
      <c r="D1" s="32"/>
      <c r="E1" s="32"/>
      <c r="F1" s="32"/>
      <c r="G1" s="32"/>
      <c r="H1" s="32"/>
      <c r="I1" s="32"/>
      <c r="J1" s="32"/>
    </row>
    <row r="3" spans="1:10">
      <c r="A3" s="28" t="s">
        <v>694</v>
      </c>
      <c r="B3" s="28" t="s">
        <v>697</v>
      </c>
      <c r="C3" s="28" t="s">
        <v>695</v>
      </c>
      <c r="D3" s="28" t="s">
        <v>696</v>
      </c>
    </row>
    <row r="4" spans="1:10" ht="17.399999999999999">
      <c r="A4" s="24">
        <f>KPI_Report!B2</f>
        <v>1568551.139999999</v>
      </c>
      <c r="B4" s="24">
        <f>KPI_Report!B3</f>
        <v>459292.36999999994</v>
      </c>
      <c r="C4" s="25">
        <f>KPI_Report!B4</f>
        <v>0.29281313072138676</v>
      </c>
      <c r="D4" s="26">
        <f>KPI_Report!B5</f>
        <v>0.99833536426589786</v>
      </c>
    </row>
    <row r="5" spans="1:10">
      <c r="A5" s="27"/>
      <c r="B5" s="27"/>
      <c r="C5" s="27"/>
      <c r="D5" s="27"/>
    </row>
    <row r="6" spans="1:10">
      <c r="A6" s="27"/>
      <c r="B6" s="27"/>
      <c r="C6" s="27"/>
      <c r="D6" s="27"/>
    </row>
    <row r="7" spans="1:10">
      <c r="A7" s="34" t="s">
        <v>698</v>
      </c>
      <c r="B7" s="35"/>
      <c r="C7" s="34" t="s">
        <v>699</v>
      </c>
      <c r="D7" s="35"/>
    </row>
    <row r="8" spans="1:10" ht="17.399999999999999">
      <c r="A8" s="36">
        <f>KPI_Report!B6</f>
        <v>4156</v>
      </c>
      <c r="B8" s="37"/>
      <c r="C8" s="38">
        <f>KPI_Report!B7</f>
        <v>256</v>
      </c>
      <c r="D8" s="39"/>
      <c r="H8" s="29"/>
    </row>
    <row r="42" spans="1:3" ht="17.399999999999999">
      <c r="A42" s="30" t="s">
        <v>700</v>
      </c>
      <c r="B42" s="31"/>
    </row>
    <row r="43" spans="1:3" ht="15">
      <c r="A43" s="23" t="s">
        <v>702</v>
      </c>
      <c r="B43" s="23"/>
      <c r="C43" s="23"/>
    </row>
    <row r="44" spans="1:3" ht="15">
      <c r="A44" s="23" t="s">
        <v>703</v>
      </c>
      <c r="B44" s="23"/>
      <c r="C44" s="23"/>
    </row>
    <row r="45" spans="1:3" ht="15">
      <c r="A45" s="23" t="s">
        <v>704</v>
      </c>
      <c r="B45" s="23"/>
      <c r="C45" s="23"/>
    </row>
    <row r="46" spans="1:3" ht="15">
      <c r="A46" s="23" t="s">
        <v>701</v>
      </c>
      <c r="B46" s="23"/>
      <c r="C46" s="23"/>
    </row>
    <row r="47" spans="1:3" ht="15">
      <c r="A47" s="23"/>
      <c r="B47" s="23"/>
      <c r="C47" s="23"/>
    </row>
    <row r="48" spans="1:3" ht="15">
      <c r="A48" s="23"/>
      <c r="B48" s="23"/>
      <c r="C48" s="23"/>
    </row>
  </sheetData>
  <mergeCells count="4">
    <mergeCell ref="A1:J1"/>
    <mergeCell ref="A7:B7"/>
    <mergeCell ref="C7:D7"/>
    <mergeCell ref="C8:D8"/>
  </mergeCells>
  <pageMargins left="0.7" right="0.7" top="0.75" bottom="0.75" header="0.3" footer="0.3"/>
  <pageSetup scale="57"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0B2A76-0939-47CC-AF3B-303B67A092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Pivot_Analysis</vt:lpstr>
      <vt:lpstr>Trend_Analysis</vt:lpstr>
      <vt:lpstr>Category_Analysis</vt:lpstr>
      <vt:lpstr>Region_Analysis</vt:lpstr>
      <vt:lpstr>SalesRep_Analysis</vt:lpstr>
      <vt:lpstr>Sales_Data</vt:lpstr>
      <vt:lpstr>Sales_MIS_Practice_Data_500_Row</vt:lpstr>
      <vt:lpstr>Raw_Import</vt:lpstr>
      <vt:lpstr>KPI_Report</vt:lpstr>
      <vt:lpstr>Lookup_Lists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Shalu Kumari</dc:creator>
  <cp:lastModifiedBy>Shalu Kumari</cp:lastModifiedBy>
  <cp:lastPrinted>2026-09-04T10:35:24Z</cp:lastPrinted>
  <dcterms:created xsi:type="dcterms:W3CDTF">2026-08-26T11:03:04Z</dcterms:created>
  <dcterms:modified xsi:type="dcterms:W3CDTF">2026-09-04T10:56:23Z</dcterms:modified>
</cp:coreProperties>
</file>